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anphongso\public\templates\"/>
    </mc:Choice>
  </mc:AlternateContent>
  <xr:revisionPtr revIDLastSave="0" documentId="13_ncr:1_{20547E7B-90DC-4A28-BB1D-01D49313E00A}" xr6:coauthVersionLast="47" xr6:coauthVersionMax="47" xr10:uidLastSave="{00000000-0000-0000-0000-000000000000}"/>
  <bookViews>
    <workbookView xWindow="3480" yWindow="3855" windowWidth="21600" windowHeight="11295" xr2:uid="{131DB9A0-D20A-4A02-B954-8E6305205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6" i="1" l="1"/>
  <c r="D202" i="1"/>
  <c r="D201" i="1"/>
  <c r="D196" i="1"/>
  <c r="D191" i="1"/>
  <c r="D190" i="1"/>
  <c r="D189" i="1"/>
  <c r="D184" i="1"/>
  <c r="D179" i="1"/>
  <c r="D178" i="1"/>
  <c r="D117" i="1"/>
  <c r="D107" i="1" s="1"/>
  <c r="D106" i="1" s="1"/>
  <c r="D116" i="1"/>
  <c r="D115" i="1"/>
  <c r="D114" i="1"/>
  <c r="D105" i="1"/>
  <c r="D104" i="1"/>
  <c r="D87" i="1"/>
  <c r="D85" i="1"/>
  <c r="D86" i="1" s="1"/>
  <c r="D84" i="1"/>
  <c r="D72" i="1"/>
  <c r="D71" i="1"/>
  <c r="D70" i="1"/>
  <c r="D69" i="1"/>
  <c r="D47" i="1"/>
  <c r="D46" i="1" s="1"/>
  <c r="D45" i="1"/>
  <c r="D44" i="1"/>
  <c r="D17" i="1"/>
  <c r="D15" i="1"/>
  <c r="D16" i="1" s="1"/>
  <c r="D14" i="1"/>
  <c r="D12" i="1"/>
  <c r="D11" i="1"/>
  <c r="F40" i="1"/>
  <c r="F39" i="1"/>
  <c r="F38" i="1"/>
  <c r="F37" i="1"/>
  <c r="F36" i="1"/>
  <c r="F35" i="1"/>
  <c r="F41" i="1"/>
  <c r="F42" i="1"/>
  <c r="F170" i="1"/>
  <c r="F172" i="1"/>
  <c r="F174" i="1"/>
  <c r="F175" i="1"/>
  <c r="F176" i="1"/>
  <c r="F34" i="1"/>
  <c r="F212" i="1"/>
  <c r="F211" i="1"/>
  <c r="F209" i="1"/>
  <c r="F208" i="1"/>
  <c r="F207" i="1"/>
  <c r="F206" i="1"/>
  <c r="E206" i="1"/>
  <c r="F205" i="1"/>
  <c r="F204" i="1"/>
  <c r="F203" i="1"/>
  <c r="F202" i="1"/>
  <c r="F201" i="1" s="1"/>
  <c r="E202" i="1"/>
  <c r="E201" i="1" s="1"/>
  <c r="F200" i="1"/>
  <c r="F199" i="1"/>
  <c r="F198" i="1"/>
  <c r="F197" i="1"/>
  <c r="F196" i="1" s="1"/>
  <c r="E196" i="1"/>
  <c r="F195" i="1"/>
  <c r="F194" i="1"/>
  <c r="F193" i="1"/>
  <c r="F192" i="1"/>
  <c r="F191" i="1" s="1"/>
  <c r="E191" i="1"/>
  <c r="F188" i="1"/>
  <c r="F187" i="1"/>
  <c r="F185" i="1"/>
  <c r="E184" i="1"/>
  <c r="F183" i="1"/>
  <c r="F182" i="1"/>
  <c r="F181" i="1"/>
  <c r="F180" i="1"/>
  <c r="E179" i="1"/>
  <c r="F173" i="1"/>
  <c r="F171" i="1"/>
  <c r="F169" i="1"/>
  <c r="F167" i="1"/>
  <c r="F166" i="1"/>
  <c r="F165" i="1"/>
  <c r="F164" i="1"/>
  <c r="F162" i="1"/>
  <c r="F161" i="1"/>
  <c r="F160" i="1"/>
  <c r="F159" i="1"/>
  <c r="F157" i="1"/>
  <c r="F156" i="1"/>
  <c r="F155" i="1"/>
  <c r="F154" i="1"/>
  <c r="F152" i="1"/>
  <c r="F151" i="1"/>
  <c r="F150" i="1"/>
  <c r="F149" i="1"/>
  <c r="F147" i="1"/>
  <c r="F146" i="1"/>
  <c r="F145" i="1"/>
  <c r="F144" i="1"/>
  <c r="F142" i="1"/>
  <c r="F141" i="1"/>
  <c r="F140" i="1"/>
  <c r="F139" i="1"/>
  <c r="F137" i="1"/>
  <c r="F136" i="1"/>
  <c r="F135" i="1"/>
  <c r="F134" i="1"/>
  <c r="F132" i="1"/>
  <c r="F131" i="1"/>
  <c r="F130" i="1"/>
  <c r="F129" i="1"/>
  <c r="F127" i="1"/>
  <c r="F126" i="1"/>
  <c r="F125" i="1"/>
  <c r="F115" i="1" s="1"/>
  <c r="F124" i="1"/>
  <c r="F122" i="1"/>
  <c r="F121" i="1"/>
  <c r="F120" i="1"/>
  <c r="F119" i="1"/>
  <c r="E117" i="1"/>
  <c r="E107" i="1" s="1"/>
  <c r="E115" i="1"/>
  <c r="E105" i="1" s="1"/>
  <c r="E114" i="1"/>
  <c r="E104" i="1" s="1"/>
  <c r="F112" i="1"/>
  <c r="F111" i="1"/>
  <c r="F110" i="1"/>
  <c r="F109" i="1"/>
  <c r="F102" i="1"/>
  <c r="F101" i="1"/>
  <c r="F100" i="1"/>
  <c r="F99" i="1"/>
  <c r="F97" i="1"/>
  <c r="F96" i="1"/>
  <c r="F95" i="1"/>
  <c r="F94" i="1"/>
  <c r="F92" i="1"/>
  <c r="F91" i="1"/>
  <c r="F90" i="1"/>
  <c r="F89" i="1"/>
  <c r="E87" i="1"/>
  <c r="E85" i="1"/>
  <c r="E84" i="1"/>
  <c r="F82" i="1"/>
  <c r="F81" i="1"/>
  <c r="F80" i="1"/>
  <c r="F79" i="1"/>
  <c r="F77" i="1"/>
  <c r="F76" i="1"/>
  <c r="F75" i="1"/>
  <c r="F74" i="1"/>
  <c r="E72" i="1"/>
  <c r="E70" i="1"/>
  <c r="E69" i="1"/>
  <c r="F67" i="1"/>
  <c r="F66" i="1"/>
  <c r="F65" i="1"/>
  <c r="F64" i="1"/>
  <c r="F62" i="1"/>
  <c r="F61" i="1"/>
  <c r="F60" i="1"/>
  <c r="F59" i="1"/>
  <c r="F57" i="1"/>
  <c r="F56" i="1"/>
  <c r="F55" i="1"/>
  <c r="F54" i="1"/>
  <c r="F52" i="1"/>
  <c r="F51" i="1"/>
  <c r="F50" i="1"/>
  <c r="F49" i="1"/>
  <c r="E47" i="1"/>
  <c r="E45" i="1"/>
  <c r="E46" i="1" s="1"/>
  <c r="E44" i="1"/>
  <c r="F32" i="1"/>
  <c r="F31" i="1"/>
  <c r="F30" i="1"/>
  <c r="F29" i="1"/>
  <c r="F27" i="1"/>
  <c r="F26" i="1"/>
  <c r="F25" i="1"/>
  <c r="F24" i="1"/>
  <c r="F22" i="1"/>
  <c r="F21" i="1"/>
  <c r="F20" i="1"/>
  <c r="F19" i="1"/>
  <c r="E17" i="1"/>
  <c r="E12" i="1" s="1"/>
  <c r="E15" i="1"/>
  <c r="E16" i="1" s="1"/>
  <c r="E14" i="1"/>
  <c r="E11" i="1" s="1"/>
  <c r="F117" i="1" l="1"/>
  <c r="F116" i="1" s="1"/>
  <c r="F184" i="1"/>
  <c r="E86" i="1"/>
  <c r="F190" i="1"/>
  <c r="F70" i="1"/>
  <c r="F87" i="1"/>
  <c r="F47" i="1"/>
  <c r="F46" i="1" s="1"/>
  <c r="E71" i="1"/>
  <c r="F17" i="1"/>
  <c r="F12" i="1" s="1"/>
  <c r="F84" i="1"/>
  <c r="E116" i="1"/>
  <c r="F44" i="1"/>
  <c r="F45" i="1"/>
  <c r="F114" i="1"/>
  <c r="F179" i="1"/>
  <c r="F178" i="1" s="1"/>
  <c r="E190" i="1"/>
  <c r="E189" i="1" s="1"/>
  <c r="F85" i="1"/>
  <c r="F86" i="1" s="1"/>
  <c r="E178" i="1"/>
  <c r="E106" i="1"/>
  <c r="F14" i="1"/>
  <c r="F11" i="1" s="1"/>
  <c r="F15" i="1"/>
  <c r="F72" i="1"/>
  <c r="F71" i="1" s="1"/>
  <c r="F69" i="1"/>
  <c r="F189" i="1"/>
  <c r="F16" i="1" l="1"/>
</calcChain>
</file>

<file path=xl/sharedStrings.xml><?xml version="1.0" encoding="utf-8"?>
<sst xmlns="http://schemas.openxmlformats.org/spreadsheetml/2006/main" count="421" uniqueCount="131">
  <si>
    <t xml:space="preserve">ƯỚC KẾT QUẢ SẢN XUẤT NÔNG, LÂM, NGƯ NGHIỆP </t>
  </si>
  <si>
    <t>Stt</t>
  </si>
  <si>
    <t>Chỉ tiêu</t>
  </si>
  <si>
    <t>ĐVT</t>
  </si>
  <si>
    <t>Lũy kế cùng kỳ</t>
  </si>
  <si>
    <t>Lũy 
kế</t>
  </si>
  <si>
    <t>A</t>
  </si>
  <si>
    <t>Nông nghiệp</t>
  </si>
  <si>
    <t>I</t>
  </si>
  <si>
    <t>Trồng trọt</t>
  </si>
  <si>
    <t xml:space="preserve">DTGT lương thực có hạt </t>
  </si>
  <si>
    <t>ha</t>
  </si>
  <si>
    <t>SL cây lương thực có hạt</t>
  </si>
  <si>
    <t>tấn</t>
  </si>
  <si>
    <t>1.1</t>
  </si>
  <si>
    <t>Cây lúa</t>
  </si>
  <si>
    <t>DT gieo trồng</t>
  </si>
  <si>
    <t>DT thu hoạch</t>
  </si>
  <si>
    <t>Năng suất thu hoạch</t>
  </si>
  <si>
    <t>tạ/ha</t>
  </si>
  <si>
    <t>Sản lượng</t>
  </si>
  <si>
    <t>1.1.1</t>
  </si>
  <si>
    <t>Vụ Đông Xuân</t>
  </si>
  <si>
    <t>1.1.2</t>
  </si>
  <si>
    <t>Vụ Xuân hè</t>
  </si>
  <si>
    <t>1.1.3</t>
  </si>
  <si>
    <t xml:space="preserve"> Vụ Hè thu </t>
  </si>
  <si>
    <t>1.1.4</t>
  </si>
  <si>
    <t>Vụ Thu đông</t>
  </si>
  <si>
    <t>1.2</t>
  </si>
  <si>
    <t>Cây bắp</t>
  </si>
  <si>
    <t>DT lúa gieo trồng</t>
  </si>
  <si>
    <t>DT lúa thu hoạch</t>
  </si>
  <si>
    <t>Cây chất bột có củ</t>
  </si>
  <si>
    <t>2.1</t>
  </si>
  <si>
    <t>Cây khoai lang</t>
  </si>
  <si>
    <t>2.2</t>
  </si>
  <si>
    <t>Cây mì</t>
  </si>
  <si>
    <t>2.3</t>
  </si>
  <si>
    <t>Cây khoai mỡ</t>
  </si>
  <si>
    <t>2.4</t>
  </si>
  <si>
    <t>Khác</t>
  </si>
  <si>
    <t>Màu thực phẩm</t>
  </si>
  <si>
    <t>3.1</t>
  </si>
  <si>
    <t>Rau các loại</t>
  </si>
  <si>
    <t>3.2</t>
  </si>
  <si>
    <t>Đậu các loại</t>
  </si>
  <si>
    <t>Cây gia vị</t>
  </si>
  <si>
    <t>4.1</t>
  </si>
  <si>
    <t>Cây ớt cay</t>
  </si>
  <si>
    <t>4.2</t>
  </si>
  <si>
    <t>Cây khác</t>
  </si>
  <si>
    <t>Cây sả</t>
  </si>
  <si>
    <t>Cây lâu năm</t>
  </si>
  <si>
    <t>Diện tích hiện có</t>
  </si>
  <si>
    <t>Diện tích cho SP</t>
  </si>
  <si>
    <t>Năng suất</t>
  </si>
  <si>
    <t>tạ/ ha</t>
  </si>
  <si>
    <t>6.1</t>
  </si>
  <si>
    <t>TĐ cây dừa:</t>
  </si>
  <si>
    <t>6.2</t>
  </si>
  <si>
    <t>Cây ăn trái</t>
  </si>
  <si>
    <t>6.2.1</t>
  </si>
  <si>
    <t>Thanh long</t>
  </si>
  <si>
    <t>Diện tích</t>
  </si>
  <si>
    <t>DT cho sản phẩm</t>
  </si>
  <si>
    <t>Sản lượng.</t>
  </si>
  <si>
    <t>6.2.2</t>
  </si>
  <si>
    <t>Sầu riêng</t>
  </si>
  <si>
    <t>6.2.3</t>
  </si>
  <si>
    <t>Khóm</t>
  </si>
  <si>
    <t>6.2.4</t>
  </si>
  <si>
    <t>Mít</t>
  </si>
  <si>
    <t>6.2.5</t>
  </si>
  <si>
    <t xml:space="preserve">Xoài </t>
  </si>
  <si>
    <t>TĐ Xoài cát Hòa Lộc</t>
  </si>
  <si>
    <t>6.2.6</t>
  </si>
  <si>
    <t xml:space="preserve">Bưởi </t>
  </si>
  <si>
    <t>TĐ Bưởi da xanh</t>
  </si>
  <si>
    <t>6.2.7</t>
  </si>
  <si>
    <t>Sapoche</t>
  </si>
  <si>
    <t>6.2.8</t>
  </si>
  <si>
    <t>Cây ăn trái khác</t>
  </si>
  <si>
    <t>II</t>
  </si>
  <si>
    <t xml:space="preserve">Chăn nuôi </t>
  </si>
  <si>
    <t>Heo</t>
  </si>
  <si>
    <t>con</t>
  </si>
  <si>
    <t>Bò</t>
  </si>
  <si>
    <t>Đàn gia cầm 
(gà+vịt+ngan+ngỗng)</t>
  </si>
  <si>
    <t>Chim cút</t>
  </si>
  <si>
    <t>B</t>
  </si>
  <si>
    <t>Lâm nghiệp</t>
  </si>
  <si>
    <t>Trồng rừng</t>
  </si>
  <si>
    <t>DT rừng hiện có</t>
  </si>
  <si>
    <t>III</t>
  </si>
  <si>
    <t>Trồng cây phân tán</t>
  </si>
  <si>
    <r>
      <t>10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cây</t>
    </r>
  </si>
  <si>
    <t>C</t>
  </si>
  <si>
    <t>Thuỷ sản</t>
  </si>
  <si>
    <t>Diện tích NTTS</t>
  </si>
  <si>
    <t xml:space="preserve">Lợ, mặn. </t>
  </si>
  <si>
    <t>Nuôi cá</t>
  </si>
  <si>
    <t>Nuôi tôm</t>
  </si>
  <si>
    <t>Nuôi nghêu</t>
  </si>
  <si>
    <t>Thủy sản khác</t>
  </si>
  <si>
    <t>Ngọt</t>
  </si>
  <si>
    <t>TĐ: cá tra</t>
  </si>
  <si>
    <t>Nuôi thủy sản khác</t>
  </si>
  <si>
    <t>Tổng sản lượng TS</t>
  </si>
  <si>
    <t xml:space="preserve">Sản lượng nuôi. </t>
  </si>
  <si>
    <t>Lợ, mặn</t>
  </si>
  <si>
    <t>SL cá</t>
  </si>
  <si>
    <t>SL tôm</t>
  </si>
  <si>
    <t>SL nghêu</t>
  </si>
  <si>
    <t>SL thủy sản khác</t>
  </si>
  <si>
    <t>Tđ: SL cá tra</t>
  </si>
  <si>
    <t>Sản lượng khai thác</t>
  </si>
  <si>
    <t>Khai thác biển</t>
  </si>
  <si>
    <t>Sl cá</t>
  </si>
  <si>
    <t>Khai thác nội địa</t>
  </si>
  <si>
    <t>Bè cá</t>
  </si>
  <si>
    <t>Số lượng</t>
  </si>
  <si>
    <t>bè</t>
  </si>
  <si>
    <t>Dung tích</t>
  </si>
  <si>
    <r>
      <t>m</t>
    </r>
    <r>
      <rPr>
        <vertAlign val="superscript"/>
        <sz val="11"/>
        <color indexed="8"/>
        <rFont val="Times New Roman"/>
        <family val="1"/>
      </rPr>
      <t>3</t>
    </r>
  </si>
  <si>
    <t>Tháng</t>
  </si>
  <si>
    <t>Trong tháng</t>
  </si>
  <si>
    <t>DON VI ………………..</t>
  </si>
  <si>
    <t>Người nhập báo cáo:……</t>
  </si>
  <si>
    <t>Số ĐT:…..........</t>
  </si>
  <si>
    <t>Email:…....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</si>
</sst>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vertAlign val="superscript"/>
      <sz val="12"/>
      <name val="Times New Roman"/>
      <family val="1"/>
    </font>
    <font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  <font>
      <b/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2" fillId="2" borderId="3" xfId="0" applyNumberFormat="1" applyFont="1" applyFill="1" applyBorder="1"/>
    <xf numFmtId="165" fontId="2" fillId="2" borderId="3" xfId="0" applyNumberFormat="1" applyFont="1" applyFill="1" applyBorder="1"/>
    <xf numFmtId="4" fontId="2" fillId="2" borderId="3" xfId="0" applyNumberFormat="1" applyFont="1" applyFill="1" applyBorder="1"/>
    <xf numFmtId="3" fontId="4" fillId="2" borderId="3" xfId="0" applyNumberFormat="1" applyFont="1" applyFill="1" applyBorder="1"/>
    <xf numFmtId="0" fontId="2" fillId="2" borderId="3" xfId="0" applyFont="1" applyFill="1" applyBorder="1"/>
    <xf numFmtId="0" fontId="0" fillId="2" borderId="0" xfId="0" applyFill="1"/>
    <xf numFmtId="0" fontId="3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3" fillId="3" borderId="3" xfId="0" applyFont="1" applyFill="1" applyBorder="1"/>
    <xf numFmtId="164" fontId="2" fillId="3" borderId="3" xfId="1" applyNumberFormat="1" applyFont="1" applyFill="1" applyBorder="1"/>
    <xf numFmtId="164" fontId="3" fillId="3" borderId="3" xfId="1" applyNumberFormat="1" applyFont="1" applyFill="1" applyBorder="1"/>
    <xf numFmtId="0" fontId="2" fillId="3" borderId="3" xfId="0" applyFont="1" applyFill="1" applyBorder="1" applyAlignment="1">
      <alignment horizontal="left" wrapText="1"/>
    </xf>
    <xf numFmtId="3" fontId="2" fillId="3" borderId="3" xfId="0" applyNumberFormat="1" applyFont="1" applyFill="1" applyBorder="1"/>
    <xf numFmtId="0" fontId="3" fillId="3" borderId="3" xfId="0" applyFont="1" applyFill="1" applyBorder="1" applyAlignment="1">
      <alignment horizontal="left"/>
    </xf>
    <xf numFmtId="165" fontId="2" fillId="3" borderId="3" xfId="0" applyNumberFormat="1" applyFont="1" applyFill="1" applyBorder="1"/>
    <xf numFmtId="165" fontId="3" fillId="3" borderId="3" xfId="0" applyNumberFormat="1" applyFont="1" applyFill="1" applyBorder="1"/>
    <xf numFmtId="0" fontId="2" fillId="3" borderId="3" xfId="0" applyFont="1" applyFill="1" applyBorder="1" applyAlignment="1">
      <alignment horizontal="left"/>
    </xf>
    <xf numFmtId="4" fontId="2" fillId="3" borderId="3" xfId="0" applyNumberFormat="1" applyFont="1" applyFill="1" applyBorder="1"/>
    <xf numFmtId="3" fontId="3" fillId="3" borderId="3" xfId="0" applyNumberFormat="1" applyFont="1" applyFill="1" applyBorder="1"/>
    <xf numFmtId="3" fontId="4" fillId="3" borderId="3" xfId="0" applyNumberFormat="1" applyFont="1" applyFill="1" applyBorder="1"/>
    <xf numFmtId="0" fontId="2" fillId="3" borderId="3" xfId="0" applyFont="1" applyFill="1" applyBorder="1"/>
    <xf numFmtId="0" fontId="2" fillId="3" borderId="3" xfId="0" quotePrefix="1" applyFont="1" applyFill="1" applyBorder="1" applyAlignment="1">
      <alignment horizontal="center"/>
    </xf>
    <xf numFmtId="0" fontId="5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/>
    <xf numFmtId="0" fontId="6" fillId="3" borderId="3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left" wrapText="1"/>
      <protection locked="0"/>
    </xf>
    <xf numFmtId="0" fontId="3" fillId="3" borderId="3" xfId="0" applyFont="1" applyFill="1" applyBorder="1" applyAlignment="1" applyProtection="1">
      <alignment horizontal="left"/>
      <protection locked="0"/>
    </xf>
    <xf numFmtId="0" fontId="4" fillId="3" borderId="3" xfId="0" quotePrefix="1" applyFont="1" applyFill="1" applyBorder="1" applyAlignment="1">
      <alignment horizontal="center"/>
    </xf>
    <xf numFmtId="0" fontId="8" fillId="3" borderId="3" xfId="0" quotePrefix="1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2" fillId="3" borderId="0" xfId="0" applyFont="1" applyFill="1"/>
    <xf numFmtId="0" fontId="0" fillId="3" borderId="0" xfId="0" applyFill="1"/>
    <xf numFmtId="0" fontId="10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B655-770C-4B80-A79B-D4EE8659020A}">
  <sheetPr codeName="Sheet1"/>
  <dimension ref="A1:U212"/>
  <sheetViews>
    <sheetView tabSelected="1" zoomScale="115" zoomScaleNormal="115" workbookViewId="0">
      <selection activeCell="H5" sqref="H5"/>
    </sheetView>
  </sheetViews>
  <sheetFormatPr defaultRowHeight="15" x14ac:dyDescent="0.25"/>
  <cols>
    <col min="2" max="2" width="31.140625" customWidth="1"/>
    <col min="3" max="3" width="12" customWidth="1"/>
    <col min="4" max="4" width="13.85546875" style="9" customWidth="1"/>
    <col min="5" max="5" width="18.140625" style="9" customWidth="1"/>
    <col min="6" max="6" width="21.140625" style="9" customWidth="1"/>
    <col min="7" max="7" width="21.140625" customWidth="1"/>
  </cols>
  <sheetData>
    <row r="1" spans="1:21" ht="16.5" x14ac:dyDescent="0.25">
      <c r="A1" s="38" t="s">
        <v>127</v>
      </c>
      <c r="B1" s="38"/>
      <c r="C1" s="38"/>
      <c r="D1" s="37"/>
      <c r="E1" s="37"/>
      <c r="F1" s="37"/>
    </row>
    <row r="2" spans="1:21" ht="15.75" x14ac:dyDescent="0.25">
      <c r="A2" s="36" t="s">
        <v>128</v>
      </c>
      <c r="B2" s="37"/>
      <c r="C2" s="37"/>
      <c r="D2" s="37"/>
      <c r="E2" s="37"/>
      <c r="F2" s="37"/>
    </row>
    <row r="3" spans="1:21" ht="15.75" x14ac:dyDescent="0.25">
      <c r="A3" s="36" t="s">
        <v>129</v>
      </c>
      <c r="B3" s="37"/>
      <c r="C3" s="37"/>
      <c r="D3" s="37"/>
      <c r="E3" s="37"/>
      <c r="F3" s="37"/>
    </row>
    <row r="4" spans="1:21" ht="16.5" x14ac:dyDescent="0.25">
      <c r="A4" s="36" t="s">
        <v>130</v>
      </c>
      <c r="B4" s="38"/>
      <c r="C4" s="38"/>
      <c r="D4" s="37"/>
      <c r="E4" s="37"/>
      <c r="F4" s="36"/>
    </row>
    <row r="5" spans="1:21" ht="15.75" x14ac:dyDescent="0.25">
      <c r="A5" s="39" t="s">
        <v>0</v>
      </c>
      <c r="B5" s="39"/>
      <c r="C5" s="39"/>
      <c r="D5" s="39"/>
      <c r="E5" s="39"/>
      <c r="F5" s="39"/>
    </row>
    <row r="6" spans="1:21" ht="15.75" x14ac:dyDescent="0.25">
      <c r="A6" s="45"/>
      <c r="B6" s="45"/>
      <c r="C6" s="45"/>
      <c r="D6" s="45"/>
      <c r="E6" s="45"/>
      <c r="F6" s="4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1"/>
    </row>
    <row r="7" spans="1:21" ht="15.75" x14ac:dyDescent="0.25">
      <c r="A7" s="40" t="s">
        <v>1</v>
      </c>
      <c r="B7" s="40" t="s">
        <v>2</v>
      </c>
      <c r="C7" s="40" t="s">
        <v>3</v>
      </c>
      <c r="D7" s="42" t="s">
        <v>125</v>
      </c>
      <c r="E7" s="43"/>
      <c r="F7" s="44"/>
      <c r="H7" s="2"/>
      <c r="I7" s="3"/>
      <c r="J7" s="3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31.5" x14ac:dyDescent="0.25">
      <c r="A8" s="41"/>
      <c r="B8" s="41"/>
      <c r="C8" s="41"/>
      <c r="D8" s="10" t="s">
        <v>4</v>
      </c>
      <c r="E8" s="10" t="s">
        <v>126</v>
      </c>
      <c r="F8" s="10" t="s">
        <v>5</v>
      </c>
    </row>
    <row r="9" spans="1:21" ht="15.75" x14ac:dyDescent="0.25">
      <c r="A9" s="11" t="s">
        <v>6</v>
      </c>
      <c r="B9" s="12" t="s">
        <v>7</v>
      </c>
      <c r="C9" s="11"/>
      <c r="D9" s="13"/>
      <c r="E9" s="13"/>
      <c r="F9" s="14"/>
    </row>
    <row r="10" spans="1:21" ht="15.75" x14ac:dyDescent="0.25">
      <c r="A10" s="11" t="s">
        <v>8</v>
      </c>
      <c r="B10" s="12" t="s">
        <v>9</v>
      </c>
      <c r="C10" s="11"/>
      <c r="D10" s="13"/>
      <c r="E10" s="13"/>
      <c r="F10" s="14"/>
    </row>
    <row r="11" spans="1:21" ht="15.75" x14ac:dyDescent="0.25">
      <c r="A11" s="11">
        <v>1</v>
      </c>
      <c r="B11" s="15" t="s">
        <v>10</v>
      </c>
      <c r="C11" s="11" t="s">
        <v>11</v>
      </c>
      <c r="D11" s="16">
        <f>D14+D39</f>
        <v>0</v>
      </c>
      <c r="E11" s="16">
        <f>E14+E39</f>
        <v>0</v>
      </c>
      <c r="F11" s="16">
        <f>F14+F39</f>
        <v>0</v>
      </c>
    </row>
    <row r="12" spans="1:21" ht="15.75" x14ac:dyDescent="0.25">
      <c r="A12" s="11"/>
      <c r="B12" s="15" t="s">
        <v>12</v>
      </c>
      <c r="C12" s="11" t="s">
        <v>13</v>
      </c>
      <c r="D12" s="16">
        <f>D17+D42</f>
        <v>0</v>
      </c>
      <c r="E12" s="16">
        <f>E17+E42</f>
        <v>0</v>
      </c>
      <c r="F12" s="16">
        <f>F17+F42</f>
        <v>0</v>
      </c>
    </row>
    <row r="13" spans="1:21" ht="15.75" x14ac:dyDescent="0.25">
      <c r="A13" s="11" t="s">
        <v>14</v>
      </c>
      <c r="B13" s="17" t="s">
        <v>15</v>
      </c>
      <c r="C13" s="11"/>
      <c r="D13" s="18"/>
      <c r="E13" s="18"/>
      <c r="F13" s="19"/>
    </row>
    <row r="14" spans="1:21" ht="15.75" x14ac:dyDescent="0.25">
      <c r="A14" s="11"/>
      <c r="B14" s="20" t="s">
        <v>16</v>
      </c>
      <c r="C14" s="11" t="s">
        <v>11</v>
      </c>
      <c r="D14" s="16">
        <f>D19+D24+D29+D34</f>
        <v>0</v>
      </c>
      <c r="E14" s="16">
        <f>E19+E24+E29+E34</f>
        <v>0</v>
      </c>
      <c r="F14" s="16">
        <f>F19+F24+F29+F34</f>
        <v>0</v>
      </c>
    </row>
    <row r="15" spans="1:21" ht="15.75" x14ac:dyDescent="0.25">
      <c r="A15" s="11"/>
      <c r="B15" s="20" t="s">
        <v>17</v>
      </c>
      <c r="C15" s="11" t="s">
        <v>11</v>
      </c>
      <c r="D15" s="16">
        <f>D20+D25+D30+D35+D40</f>
        <v>0</v>
      </c>
      <c r="E15" s="16">
        <f>E20+E25+E30+E35+E40</f>
        <v>0</v>
      </c>
      <c r="F15" s="16">
        <f>F20+F25+F30+F35+F40</f>
        <v>0</v>
      </c>
    </row>
    <row r="16" spans="1:21" ht="15.75" x14ac:dyDescent="0.25">
      <c r="A16" s="11"/>
      <c r="B16" s="20" t="s">
        <v>18</v>
      </c>
      <c r="C16" s="11" t="s">
        <v>19</v>
      </c>
      <c r="D16" s="21" t="e">
        <f>D17/D15*10</f>
        <v>#DIV/0!</v>
      </c>
      <c r="E16" s="21" t="e">
        <f>E17/E15*10</f>
        <v>#DIV/0!</v>
      </c>
      <c r="F16" s="21" t="e">
        <f>F17/F15*10</f>
        <v>#DIV/0!</v>
      </c>
    </row>
    <row r="17" spans="1:6" ht="15.75" x14ac:dyDescent="0.25">
      <c r="A17" s="11"/>
      <c r="B17" s="20" t="s">
        <v>20</v>
      </c>
      <c r="C17" s="11" t="s">
        <v>13</v>
      </c>
      <c r="D17" s="16">
        <f>D22+D27+D32+D37</f>
        <v>0</v>
      </c>
      <c r="E17" s="16">
        <f>E22+E27+E32+E37</f>
        <v>0</v>
      </c>
      <c r="F17" s="16">
        <f>F22+F27+F32+F37</f>
        <v>0</v>
      </c>
    </row>
    <row r="18" spans="1:6" ht="15.75" x14ac:dyDescent="0.25">
      <c r="A18" s="11" t="s">
        <v>21</v>
      </c>
      <c r="B18" s="17" t="s">
        <v>22</v>
      </c>
      <c r="C18" s="11"/>
      <c r="D18" s="18"/>
      <c r="E18" s="18"/>
      <c r="F18" s="19"/>
    </row>
    <row r="19" spans="1:6" ht="15.75" x14ac:dyDescent="0.25">
      <c r="A19" s="11"/>
      <c r="B19" s="20" t="s">
        <v>16</v>
      </c>
      <c r="C19" s="11" t="s">
        <v>11</v>
      </c>
      <c r="D19" s="4"/>
      <c r="E19" s="4"/>
      <c r="F19" s="22">
        <f>E19</f>
        <v>0</v>
      </c>
    </row>
    <row r="20" spans="1:6" ht="15.75" x14ac:dyDescent="0.25">
      <c r="A20" s="11"/>
      <c r="B20" s="20" t="s">
        <v>17</v>
      </c>
      <c r="C20" s="11" t="s">
        <v>11</v>
      </c>
      <c r="D20" s="4"/>
      <c r="E20" s="4"/>
      <c r="F20" s="22">
        <f>E20</f>
        <v>0</v>
      </c>
    </row>
    <row r="21" spans="1:6" ht="15.75" x14ac:dyDescent="0.25">
      <c r="A21" s="11"/>
      <c r="B21" s="20" t="s">
        <v>18</v>
      </c>
      <c r="C21" s="11" t="s">
        <v>19</v>
      </c>
      <c r="D21" s="6"/>
      <c r="E21" s="6"/>
      <c r="F21" s="22">
        <f>E21</f>
        <v>0</v>
      </c>
    </row>
    <row r="22" spans="1:6" ht="15.75" x14ac:dyDescent="0.25">
      <c r="A22" s="11"/>
      <c r="B22" s="20" t="s">
        <v>20</v>
      </c>
      <c r="C22" s="11" t="s">
        <v>13</v>
      </c>
      <c r="D22" s="4"/>
      <c r="E22" s="4"/>
      <c r="F22" s="22">
        <f>E22</f>
        <v>0</v>
      </c>
    </row>
    <row r="23" spans="1:6" ht="15.75" x14ac:dyDescent="0.25">
      <c r="A23" s="11" t="s">
        <v>23</v>
      </c>
      <c r="B23" s="17" t="s">
        <v>24</v>
      </c>
      <c r="C23" s="11"/>
      <c r="D23" s="16"/>
      <c r="E23" s="16"/>
      <c r="F23" s="22"/>
    </row>
    <row r="24" spans="1:6" ht="15.75" x14ac:dyDescent="0.25">
      <c r="A24" s="11"/>
      <c r="B24" s="20" t="s">
        <v>16</v>
      </c>
      <c r="C24" s="11" t="s">
        <v>11</v>
      </c>
      <c r="D24" s="4"/>
      <c r="E24" s="4"/>
      <c r="F24" s="22">
        <f>E24</f>
        <v>0</v>
      </c>
    </row>
    <row r="25" spans="1:6" ht="15.75" x14ac:dyDescent="0.25">
      <c r="A25" s="11"/>
      <c r="B25" s="20" t="s">
        <v>17</v>
      </c>
      <c r="C25" s="11" t="s">
        <v>11</v>
      </c>
      <c r="D25" s="4"/>
      <c r="E25" s="4"/>
      <c r="F25" s="22">
        <f>E25</f>
        <v>0</v>
      </c>
    </row>
    <row r="26" spans="1:6" ht="15.75" x14ac:dyDescent="0.25">
      <c r="A26" s="11"/>
      <c r="B26" s="20" t="s">
        <v>18</v>
      </c>
      <c r="C26" s="11" t="s">
        <v>19</v>
      </c>
      <c r="D26" s="6"/>
      <c r="E26" s="6"/>
      <c r="F26" s="22">
        <f>E26</f>
        <v>0</v>
      </c>
    </row>
    <row r="27" spans="1:6" ht="15.75" x14ac:dyDescent="0.25">
      <c r="A27" s="11"/>
      <c r="B27" s="20" t="s">
        <v>20</v>
      </c>
      <c r="C27" s="11" t="s">
        <v>13</v>
      </c>
      <c r="D27" s="4"/>
      <c r="E27" s="4"/>
      <c r="F27" s="22">
        <f>E27</f>
        <v>0</v>
      </c>
    </row>
    <row r="28" spans="1:6" ht="15.75" x14ac:dyDescent="0.25">
      <c r="A28" s="11" t="s">
        <v>25</v>
      </c>
      <c r="B28" s="17" t="s">
        <v>26</v>
      </c>
      <c r="C28" s="11"/>
      <c r="D28" s="16"/>
      <c r="E28" s="16"/>
      <c r="F28" s="22"/>
    </row>
    <row r="29" spans="1:6" ht="15.75" x14ac:dyDescent="0.25">
      <c r="A29" s="11"/>
      <c r="B29" s="20" t="s">
        <v>16</v>
      </c>
      <c r="C29" s="11" t="s">
        <v>11</v>
      </c>
      <c r="D29" s="4"/>
      <c r="E29" s="4"/>
      <c r="F29" s="22">
        <f>E29</f>
        <v>0</v>
      </c>
    </row>
    <row r="30" spans="1:6" ht="15.75" x14ac:dyDescent="0.25">
      <c r="A30" s="11"/>
      <c r="B30" s="20" t="s">
        <v>17</v>
      </c>
      <c r="C30" s="11" t="s">
        <v>11</v>
      </c>
      <c r="D30" s="4"/>
      <c r="E30" s="4"/>
      <c r="F30" s="22">
        <f>E30</f>
        <v>0</v>
      </c>
    </row>
    <row r="31" spans="1:6" ht="15.75" x14ac:dyDescent="0.25">
      <c r="A31" s="11"/>
      <c r="B31" s="20" t="s">
        <v>18</v>
      </c>
      <c r="C31" s="11" t="s">
        <v>19</v>
      </c>
      <c r="D31" s="6"/>
      <c r="E31" s="6"/>
      <c r="F31" s="22">
        <f>E31</f>
        <v>0</v>
      </c>
    </row>
    <row r="32" spans="1:6" ht="15.75" x14ac:dyDescent="0.25">
      <c r="A32" s="11"/>
      <c r="B32" s="20" t="s">
        <v>20</v>
      </c>
      <c r="C32" s="11" t="s">
        <v>13</v>
      </c>
      <c r="D32" s="4"/>
      <c r="E32" s="4"/>
      <c r="F32" s="22">
        <f>E32</f>
        <v>0</v>
      </c>
    </row>
    <row r="33" spans="1:6" ht="15.75" x14ac:dyDescent="0.25">
      <c r="A33" s="11" t="s">
        <v>27</v>
      </c>
      <c r="B33" s="17" t="s">
        <v>28</v>
      </c>
      <c r="C33" s="11"/>
      <c r="D33" s="16"/>
      <c r="E33" s="16"/>
      <c r="F33" s="22"/>
    </row>
    <row r="34" spans="1:6" ht="15.75" x14ac:dyDescent="0.25">
      <c r="A34" s="11"/>
      <c r="B34" s="20" t="s">
        <v>16</v>
      </c>
      <c r="C34" s="11" t="s">
        <v>11</v>
      </c>
      <c r="D34" s="4"/>
      <c r="E34" s="4"/>
      <c r="F34" s="22">
        <f t="shared" ref="F34" si="0">E34</f>
        <v>0</v>
      </c>
    </row>
    <row r="35" spans="1:6" ht="15.75" x14ac:dyDescent="0.25">
      <c r="A35" s="11"/>
      <c r="B35" s="20" t="s">
        <v>17</v>
      </c>
      <c r="C35" s="11" t="s">
        <v>11</v>
      </c>
      <c r="D35" s="4"/>
      <c r="E35" s="4"/>
      <c r="F35" s="22">
        <f t="shared" ref="F35:F42" si="1">E35</f>
        <v>0</v>
      </c>
    </row>
    <row r="36" spans="1:6" ht="15.75" x14ac:dyDescent="0.25">
      <c r="A36" s="11"/>
      <c r="B36" s="20" t="s">
        <v>18</v>
      </c>
      <c r="C36" s="11" t="s">
        <v>19</v>
      </c>
      <c r="D36" s="6"/>
      <c r="E36" s="6"/>
      <c r="F36" s="22">
        <f t="shared" si="1"/>
        <v>0</v>
      </c>
    </row>
    <row r="37" spans="1:6" ht="15.75" x14ac:dyDescent="0.25">
      <c r="A37" s="11"/>
      <c r="B37" s="20" t="s">
        <v>20</v>
      </c>
      <c r="C37" s="11" t="s">
        <v>13</v>
      </c>
      <c r="D37" s="4"/>
      <c r="E37" s="4"/>
      <c r="F37" s="22">
        <f t="shared" si="1"/>
        <v>0</v>
      </c>
    </row>
    <row r="38" spans="1:6" ht="15.75" x14ac:dyDescent="0.25">
      <c r="A38" s="11" t="s">
        <v>29</v>
      </c>
      <c r="B38" s="17" t="s">
        <v>30</v>
      </c>
      <c r="C38" s="11" t="s">
        <v>11</v>
      </c>
      <c r="D38" s="4"/>
      <c r="E38" s="4"/>
      <c r="F38" s="22">
        <f t="shared" si="1"/>
        <v>0</v>
      </c>
    </row>
    <row r="39" spans="1:6" ht="15.75" x14ac:dyDescent="0.25">
      <c r="A39" s="11"/>
      <c r="B39" s="20" t="s">
        <v>31</v>
      </c>
      <c r="C39" s="11" t="s">
        <v>11</v>
      </c>
      <c r="D39" s="4"/>
      <c r="E39" s="4"/>
      <c r="F39" s="22">
        <f t="shared" si="1"/>
        <v>0</v>
      </c>
    </row>
    <row r="40" spans="1:6" ht="15.75" x14ac:dyDescent="0.25">
      <c r="A40" s="11"/>
      <c r="B40" s="20" t="s">
        <v>32</v>
      </c>
      <c r="C40" s="11" t="s">
        <v>11</v>
      </c>
      <c r="D40" s="4"/>
      <c r="E40" s="4"/>
      <c r="F40" s="22">
        <f t="shared" si="1"/>
        <v>0</v>
      </c>
    </row>
    <row r="41" spans="1:6" ht="15.75" x14ac:dyDescent="0.25">
      <c r="A41" s="11"/>
      <c r="B41" s="20" t="s">
        <v>18</v>
      </c>
      <c r="C41" s="11" t="s">
        <v>19</v>
      </c>
      <c r="D41" s="5"/>
      <c r="E41" s="5"/>
      <c r="F41" s="22">
        <f t="shared" si="1"/>
        <v>0</v>
      </c>
    </row>
    <row r="42" spans="1:6" ht="15.75" x14ac:dyDescent="0.25">
      <c r="A42" s="11"/>
      <c r="B42" s="20" t="s">
        <v>20</v>
      </c>
      <c r="C42" s="11" t="s">
        <v>13</v>
      </c>
      <c r="D42" s="4"/>
      <c r="E42" s="4"/>
      <c r="F42" s="22">
        <f t="shared" si="1"/>
        <v>0</v>
      </c>
    </row>
    <row r="43" spans="1:6" ht="15.75" x14ac:dyDescent="0.25">
      <c r="A43" s="11">
        <v>2</v>
      </c>
      <c r="B43" s="17" t="s">
        <v>33</v>
      </c>
      <c r="C43" s="11"/>
      <c r="D43" s="16"/>
      <c r="E43" s="16"/>
      <c r="F43" s="19"/>
    </row>
    <row r="44" spans="1:6" ht="15.75" x14ac:dyDescent="0.25">
      <c r="A44" s="11"/>
      <c r="B44" s="20" t="s">
        <v>31</v>
      </c>
      <c r="C44" s="11" t="s">
        <v>11</v>
      </c>
      <c r="D44" s="16">
        <f t="shared" ref="D44:F45" si="2">D49+D54+D59+D64</f>
        <v>0</v>
      </c>
      <c r="E44" s="16">
        <f t="shared" si="2"/>
        <v>0</v>
      </c>
      <c r="F44" s="16">
        <f t="shared" si="2"/>
        <v>0</v>
      </c>
    </row>
    <row r="45" spans="1:6" ht="15.75" x14ac:dyDescent="0.25">
      <c r="A45" s="11"/>
      <c r="B45" s="20" t="s">
        <v>32</v>
      </c>
      <c r="C45" s="11" t="s">
        <v>11</v>
      </c>
      <c r="D45" s="16">
        <f t="shared" si="2"/>
        <v>0</v>
      </c>
      <c r="E45" s="16">
        <f t="shared" si="2"/>
        <v>0</v>
      </c>
      <c r="F45" s="16">
        <f t="shared" si="2"/>
        <v>0</v>
      </c>
    </row>
    <row r="46" spans="1:6" ht="15.75" x14ac:dyDescent="0.25">
      <c r="A46" s="11"/>
      <c r="B46" s="20" t="s">
        <v>18</v>
      </c>
      <c r="C46" s="11" t="s">
        <v>19</v>
      </c>
      <c r="D46" s="16" t="e">
        <f>D47/D45*10</f>
        <v>#DIV/0!</v>
      </c>
      <c r="E46" s="16" t="e">
        <f>E47/E45*10</f>
        <v>#DIV/0!</v>
      </c>
      <c r="F46" s="16" t="e">
        <f>F47/F45*10</f>
        <v>#DIV/0!</v>
      </c>
    </row>
    <row r="47" spans="1:6" ht="15.75" x14ac:dyDescent="0.25">
      <c r="A47" s="11"/>
      <c r="B47" s="20" t="s">
        <v>20</v>
      </c>
      <c r="C47" s="11" t="s">
        <v>13</v>
      </c>
      <c r="D47" s="16">
        <f>D52+D57+D62+D67</f>
        <v>0</v>
      </c>
      <c r="E47" s="16">
        <f>E52+E57+E62+E67</f>
        <v>0</v>
      </c>
      <c r="F47" s="16">
        <f>F52+F57+F62+F67</f>
        <v>0</v>
      </c>
    </row>
    <row r="48" spans="1:6" ht="15.75" x14ac:dyDescent="0.25">
      <c r="A48" s="11" t="s">
        <v>34</v>
      </c>
      <c r="B48" s="17" t="s">
        <v>35</v>
      </c>
      <c r="C48" s="11"/>
      <c r="D48" s="16"/>
      <c r="E48" s="16"/>
      <c r="F48" s="22"/>
    </row>
    <row r="49" spans="1:6" ht="15.75" x14ac:dyDescent="0.25">
      <c r="A49" s="11"/>
      <c r="B49" s="20" t="s">
        <v>31</v>
      </c>
      <c r="C49" s="11" t="s">
        <v>11</v>
      </c>
      <c r="D49" s="4"/>
      <c r="E49" s="4"/>
      <c r="F49" s="22">
        <f>E49</f>
        <v>0</v>
      </c>
    </row>
    <row r="50" spans="1:6" ht="15.75" x14ac:dyDescent="0.25">
      <c r="A50" s="11"/>
      <c r="B50" s="20" t="s">
        <v>32</v>
      </c>
      <c r="C50" s="11" t="s">
        <v>11</v>
      </c>
      <c r="D50" s="4"/>
      <c r="E50" s="4"/>
      <c r="F50" s="22">
        <f>E50</f>
        <v>0</v>
      </c>
    </row>
    <row r="51" spans="1:6" ht="15.75" x14ac:dyDescent="0.25">
      <c r="A51" s="11"/>
      <c r="B51" s="20" t="s">
        <v>18</v>
      </c>
      <c r="C51" s="11" t="s">
        <v>19</v>
      </c>
      <c r="D51" s="4"/>
      <c r="E51" s="4"/>
      <c r="F51" s="22">
        <f>E51</f>
        <v>0</v>
      </c>
    </row>
    <row r="52" spans="1:6" ht="15.75" x14ac:dyDescent="0.25">
      <c r="A52" s="11"/>
      <c r="B52" s="20" t="s">
        <v>20</v>
      </c>
      <c r="C52" s="11" t="s">
        <v>13</v>
      </c>
      <c r="D52" s="4"/>
      <c r="E52" s="4"/>
      <c r="F52" s="22">
        <f>E52</f>
        <v>0</v>
      </c>
    </row>
    <row r="53" spans="1:6" ht="15.75" x14ac:dyDescent="0.25">
      <c r="A53" s="11" t="s">
        <v>36</v>
      </c>
      <c r="B53" s="17" t="s">
        <v>37</v>
      </c>
      <c r="C53" s="11"/>
      <c r="D53" s="11"/>
      <c r="E53" s="11"/>
      <c r="F53" s="22"/>
    </row>
    <row r="54" spans="1:6" ht="15.75" x14ac:dyDescent="0.25">
      <c r="A54" s="11"/>
      <c r="B54" s="20" t="s">
        <v>31</v>
      </c>
      <c r="C54" s="11" t="s">
        <v>11</v>
      </c>
      <c r="D54" s="4"/>
      <c r="E54" s="4"/>
      <c r="F54" s="22">
        <f>E54</f>
        <v>0</v>
      </c>
    </row>
    <row r="55" spans="1:6" ht="15.75" x14ac:dyDescent="0.25">
      <c r="A55" s="11"/>
      <c r="B55" s="20" t="s">
        <v>32</v>
      </c>
      <c r="C55" s="11" t="s">
        <v>11</v>
      </c>
      <c r="D55" s="4"/>
      <c r="E55" s="4"/>
      <c r="F55" s="22">
        <f>E55</f>
        <v>0</v>
      </c>
    </row>
    <row r="56" spans="1:6" ht="15.75" x14ac:dyDescent="0.25">
      <c r="A56" s="11"/>
      <c r="B56" s="20" t="s">
        <v>18</v>
      </c>
      <c r="C56" s="11" t="s">
        <v>19</v>
      </c>
      <c r="D56" s="4"/>
      <c r="E56" s="4"/>
      <c r="F56" s="22">
        <f>E56</f>
        <v>0</v>
      </c>
    </row>
    <row r="57" spans="1:6" ht="15.75" x14ac:dyDescent="0.25">
      <c r="A57" s="11"/>
      <c r="B57" s="20" t="s">
        <v>20</v>
      </c>
      <c r="C57" s="11" t="s">
        <v>13</v>
      </c>
      <c r="D57" s="4"/>
      <c r="E57" s="4"/>
      <c r="F57" s="22">
        <f>E57</f>
        <v>0</v>
      </c>
    </row>
    <row r="58" spans="1:6" ht="15.75" x14ac:dyDescent="0.25">
      <c r="A58" s="11" t="s">
        <v>38</v>
      </c>
      <c r="B58" s="17" t="s">
        <v>39</v>
      </c>
      <c r="C58" s="11"/>
      <c r="D58" s="11"/>
      <c r="E58" s="11"/>
      <c r="F58" s="22"/>
    </row>
    <row r="59" spans="1:6" ht="15.75" x14ac:dyDescent="0.25">
      <c r="A59" s="11"/>
      <c r="B59" s="20" t="s">
        <v>31</v>
      </c>
      <c r="C59" s="11" t="s">
        <v>11</v>
      </c>
      <c r="D59" s="4"/>
      <c r="E59" s="4"/>
      <c r="F59" s="22">
        <f>E59</f>
        <v>0</v>
      </c>
    </row>
    <row r="60" spans="1:6" ht="15.75" x14ac:dyDescent="0.25">
      <c r="A60" s="11"/>
      <c r="B60" s="20" t="s">
        <v>32</v>
      </c>
      <c r="C60" s="11" t="s">
        <v>11</v>
      </c>
      <c r="D60" s="4"/>
      <c r="E60" s="4"/>
      <c r="F60" s="22">
        <f>E60</f>
        <v>0</v>
      </c>
    </row>
    <row r="61" spans="1:6" ht="15.75" x14ac:dyDescent="0.25">
      <c r="A61" s="11"/>
      <c r="B61" s="20" t="s">
        <v>18</v>
      </c>
      <c r="C61" s="11" t="s">
        <v>19</v>
      </c>
      <c r="D61" s="4"/>
      <c r="E61" s="4"/>
      <c r="F61" s="22">
        <f>E61</f>
        <v>0</v>
      </c>
    </row>
    <row r="62" spans="1:6" ht="15.75" x14ac:dyDescent="0.25">
      <c r="A62" s="11"/>
      <c r="B62" s="20" t="s">
        <v>20</v>
      </c>
      <c r="C62" s="11" t="s">
        <v>13</v>
      </c>
      <c r="D62" s="4"/>
      <c r="E62" s="4"/>
      <c r="F62" s="22">
        <f>E62</f>
        <v>0</v>
      </c>
    </row>
    <row r="63" spans="1:6" ht="15.75" x14ac:dyDescent="0.25">
      <c r="A63" s="11" t="s">
        <v>40</v>
      </c>
      <c r="B63" s="17" t="s">
        <v>41</v>
      </c>
      <c r="C63" s="11"/>
      <c r="D63" s="11"/>
      <c r="E63" s="11"/>
      <c r="F63" s="22"/>
    </row>
    <row r="64" spans="1:6" ht="15.75" x14ac:dyDescent="0.25">
      <c r="A64" s="11"/>
      <c r="B64" s="20" t="s">
        <v>31</v>
      </c>
      <c r="C64" s="11" t="s">
        <v>11</v>
      </c>
      <c r="D64" s="4"/>
      <c r="E64" s="4"/>
      <c r="F64" s="22">
        <f>E64</f>
        <v>0</v>
      </c>
    </row>
    <row r="65" spans="1:6" ht="15.75" x14ac:dyDescent="0.25">
      <c r="A65" s="11"/>
      <c r="B65" s="20" t="s">
        <v>32</v>
      </c>
      <c r="C65" s="11" t="s">
        <v>11</v>
      </c>
      <c r="D65" s="4"/>
      <c r="E65" s="4"/>
      <c r="F65" s="22">
        <f>E65</f>
        <v>0</v>
      </c>
    </row>
    <row r="66" spans="1:6" ht="15.75" x14ac:dyDescent="0.25">
      <c r="A66" s="11"/>
      <c r="B66" s="20" t="s">
        <v>18</v>
      </c>
      <c r="C66" s="11" t="s">
        <v>19</v>
      </c>
      <c r="D66" s="4"/>
      <c r="E66" s="4"/>
      <c r="F66" s="22">
        <f>E66</f>
        <v>0</v>
      </c>
    </row>
    <row r="67" spans="1:6" ht="15.75" x14ac:dyDescent="0.25">
      <c r="A67" s="11"/>
      <c r="B67" s="20" t="s">
        <v>20</v>
      </c>
      <c r="C67" s="11" t="s">
        <v>13</v>
      </c>
      <c r="D67" s="4"/>
      <c r="E67" s="4"/>
      <c r="F67" s="22">
        <f>E67</f>
        <v>0</v>
      </c>
    </row>
    <row r="68" spans="1:6" ht="15.75" x14ac:dyDescent="0.25">
      <c r="A68" s="11">
        <v>3</v>
      </c>
      <c r="B68" s="17" t="s">
        <v>42</v>
      </c>
      <c r="C68" s="11"/>
      <c r="D68" s="16"/>
      <c r="E68" s="16"/>
      <c r="F68" s="19"/>
    </row>
    <row r="69" spans="1:6" ht="15.75" x14ac:dyDescent="0.25">
      <c r="A69" s="11"/>
      <c r="B69" s="20" t="s">
        <v>31</v>
      </c>
      <c r="C69" s="11" t="s">
        <v>11</v>
      </c>
      <c r="D69" s="16">
        <f t="shared" ref="D69:F70" si="3">D74+D79</f>
        <v>0</v>
      </c>
      <c r="E69" s="16">
        <f t="shared" si="3"/>
        <v>0</v>
      </c>
      <c r="F69" s="16">
        <f t="shared" si="3"/>
        <v>0</v>
      </c>
    </row>
    <row r="70" spans="1:6" ht="15.75" x14ac:dyDescent="0.25">
      <c r="A70" s="11"/>
      <c r="B70" s="20" t="s">
        <v>32</v>
      </c>
      <c r="C70" s="11" t="s">
        <v>11</v>
      </c>
      <c r="D70" s="16">
        <f t="shared" si="3"/>
        <v>0</v>
      </c>
      <c r="E70" s="16">
        <f t="shared" si="3"/>
        <v>0</v>
      </c>
      <c r="F70" s="16">
        <f t="shared" si="3"/>
        <v>0</v>
      </c>
    </row>
    <row r="71" spans="1:6" ht="15.75" x14ac:dyDescent="0.25">
      <c r="A71" s="11"/>
      <c r="B71" s="20" t="s">
        <v>18</v>
      </c>
      <c r="C71" s="11" t="s">
        <v>19</v>
      </c>
      <c r="D71" s="16" t="e">
        <f>D72/D70*10</f>
        <v>#DIV/0!</v>
      </c>
      <c r="E71" s="16" t="e">
        <f>E72/E70*10</f>
        <v>#DIV/0!</v>
      </c>
      <c r="F71" s="16" t="e">
        <f>F72/F70*10</f>
        <v>#DIV/0!</v>
      </c>
    </row>
    <row r="72" spans="1:6" ht="15.75" x14ac:dyDescent="0.25">
      <c r="A72" s="11"/>
      <c r="B72" s="20" t="s">
        <v>20</v>
      </c>
      <c r="C72" s="11" t="s">
        <v>13</v>
      </c>
      <c r="D72" s="16">
        <f>D77+D82</f>
        <v>0</v>
      </c>
      <c r="E72" s="16">
        <f>E77+E82</f>
        <v>0</v>
      </c>
      <c r="F72" s="16">
        <f>F77+F82</f>
        <v>0</v>
      </c>
    </row>
    <row r="73" spans="1:6" ht="15.75" x14ac:dyDescent="0.25">
      <c r="A73" s="11" t="s">
        <v>43</v>
      </c>
      <c r="B73" s="17" t="s">
        <v>44</v>
      </c>
      <c r="C73" s="11"/>
      <c r="D73" s="16"/>
      <c r="E73" s="16"/>
      <c r="F73" s="22"/>
    </row>
    <row r="74" spans="1:6" ht="15.75" x14ac:dyDescent="0.25">
      <c r="A74" s="11"/>
      <c r="B74" s="20" t="s">
        <v>31</v>
      </c>
      <c r="C74" s="11" t="s">
        <v>11</v>
      </c>
      <c r="D74" s="4"/>
      <c r="E74" s="4"/>
      <c r="F74" s="22">
        <f>E74</f>
        <v>0</v>
      </c>
    </row>
    <row r="75" spans="1:6" ht="15.75" x14ac:dyDescent="0.25">
      <c r="A75" s="11"/>
      <c r="B75" s="20" t="s">
        <v>32</v>
      </c>
      <c r="C75" s="11" t="s">
        <v>11</v>
      </c>
      <c r="D75" s="4"/>
      <c r="E75" s="4"/>
      <c r="F75" s="22">
        <f>E75</f>
        <v>0</v>
      </c>
    </row>
    <row r="76" spans="1:6" ht="15.75" x14ac:dyDescent="0.25">
      <c r="A76" s="11"/>
      <c r="B76" s="20" t="s">
        <v>18</v>
      </c>
      <c r="C76" s="11" t="s">
        <v>19</v>
      </c>
      <c r="D76" s="4"/>
      <c r="E76" s="4"/>
      <c r="F76" s="22">
        <f>E76</f>
        <v>0</v>
      </c>
    </row>
    <row r="77" spans="1:6" ht="15.75" x14ac:dyDescent="0.25">
      <c r="A77" s="11"/>
      <c r="B77" s="20" t="s">
        <v>20</v>
      </c>
      <c r="C77" s="11" t="s">
        <v>13</v>
      </c>
      <c r="D77" s="4"/>
      <c r="E77" s="4"/>
      <c r="F77" s="22">
        <f>E77</f>
        <v>0</v>
      </c>
    </row>
    <row r="78" spans="1:6" ht="15.75" x14ac:dyDescent="0.25">
      <c r="A78" s="11" t="s">
        <v>45</v>
      </c>
      <c r="B78" s="17" t="s">
        <v>46</v>
      </c>
      <c r="C78" s="11"/>
      <c r="D78" s="11"/>
      <c r="E78" s="11"/>
      <c r="F78" s="22"/>
    </row>
    <row r="79" spans="1:6" ht="15.75" x14ac:dyDescent="0.25">
      <c r="A79" s="11"/>
      <c r="B79" s="20" t="s">
        <v>31</v>
      </c>
      <c r="C79" s="11" t="s">
        <v>11</v>
      </c>
      <c r="D79" s="4"/>
      <c r="E79" s="4"/>
      <c r="F79" s="22">
        <f>E79</f>
        <v>0</v>
      </c>
    </row>
    <row r="80" spans="1:6" ht="15.75" x14ac:dyDescent="0.25">
      <c r="A80" s="11"/>
      <c r="B80" s="20" t="s">
        <v>32</v>
      </c>
      <c r="C80" s="11" t="s">
        <v>11</v>
      </c>
      <c r="D80" s="4"/>
      <c r="E80" s="4"/>
      <c r="F80" s="22">
        <f>E80</f>
        <v>0</v>
      </c>
    </row>
    <row r="81" spans="1:6" ht="15.75" x14ac:dyDescent="0.25">
      <c r="A81" s="11"/>
      <c r="B81" s="20" t="s">
        <v>18</v>
      </c>
      <c r="C81" s="11" t="s">
        <v>19</v>
      </c>
      <c r="D81" s="4"/>
      <c r="E81" s="4"/>
      <c r="F81" s="22">
        <f>E81</f>
        <v>0</v>
      </c>
    </row>
    <row r="82" spans="1:6" ht="15.75" x14ac:dyDescent="0.25">
      <c r="A82" s="11"/>
      <c r="B82" s="20" t="s">
        <v>20</v>
      </c>
      <c r="C82" s="11" t="s">
        <v>13</v>
      </c>
      <c r="D82" s="4"/>
      <c r="E82" s="4"/>
      <c r="F82" s="22">
        <f>E82</f>
        <v>0</v>
      </c>
    </row>
    <row r="83" spans="1:6" ht="15.75" x14ac:dyDescent="0.25">
      <c r="A83" s="11">
        <v>4</v>
      </c>
      <c r="B83" s="17" t="s">
        <v>47</v>
      </c>
      <c r="C83" s="11"/>
      <c r="D83" s="16"/>
      <c r="E83" s="16"/>
      <c r="F83" s="22"/>
    </row>
    <row r="84" spans="1:6" ht="15.75" x14ac:dyDescent="0.25">
      <c r="A84" s="11"/>
      <c r="B84" s="20" t="s">
        <v>31</v>
      </c>
      <c r="C84" s="11" t="s">
        <v>11</v>
      </c>
      <c r="D84" s="16">
        <f t="shared" ref="D84:F85" si="4">D89+D94</f>
        <v>0</v>
      </c>
      <c r="E84" s="16">
        <f t="shared" si="4"/>
        <v>0</v>
      </c>
      <c r="F84" s="16">
        <f t="shared" si="4"/>
        <v>0</v>
      </c>
    </row>
    <row r="85" spans="1:6" ht="15.75" x14ac:dyDescent="0.25">
      <c r="A85" s="11"/>
      <c r="B85" s="20" t="s">
        <v>32</v>
      </c>
      <c r="C85" s="11" t="s">
        <v>11</v>
      </c>
      <c r="D85" s="16">
        <f t="shared" si="4"/>
        <v>0</v>
      </c>
      <c r="E85" s="16">
        <f t="shared" si="4"/>
        <v>0</v>
      </c>
      <c r="F85" s="16">
        <f t="shared" si="4"/>
        <v>0</v>
      </c>
    </row>
    <row r="86" spans="1:6" ht="15.75" x14ac:dyDescent="0.25">
      <c r="A86" s="11"/>
      <c r="B86" s="20" t="s">
        <v>18</v>
      </c>
      <c r="C86" s="11" t="s">
        <v>19</v>
      </c>
      <c r="D86" s="16" t="e">
        <f>D87/D85*10</f>
        <v>#DIV/0!</v>
      </c>
      <c r="E86" s="16" t="e">
        <f>E87/E85*10</f>
        <v>#DIV/0!</v>
      </c>
      <c r="F86" s="16" t="e">
        <f>F87/F85*10</f>
        <v>#DIV/0!</v>
      </c>
    </row>
    <row r="87" spans="1:6" ht="15.75" x14ac:dyDescent="0.25">
      <c r="A87" s="11"/>
      <c r="B87" s="20" t="s">
        <v>20</v>
      </c>
      <c r="C87" s="11" t="s">
        <v>13</v>
      </c>
      <c r="D87" s="16">
        <f>D92+D97</f>
        <v>0</v>
      </c>
      <c r="E87" s="16">
        <f>E92+E97</f>
        <v>0</v>
      </c>
      <c r="F87" s="16">
        <f>F92+F97</f>
        <v>0</v>
      </c>
    </row>
    <row r="88" spans="1:6" ht="15.75" x14ac:dyDescent="0.25">
      <c r="A88" s="11" t="s">
        <v>48</v>
      </c>
      <c r="B88" s="17" t="s">
        <v>49</v>
      </c>
      <c r="C88" s="11"/>
      <c r="D88" s="16"/>
      <c r="E88" s="16"/>
      <c r="F88" s="22"/>
    </row>
    <row r="89" spans="1:6" ht="15.75" x14ac:dyDescent="0.25">
      <c r="A89" s="11"/>
      <c r="B89" s="20" t="s">
        <v>31</v>
      </c>
      <c r="C89" s="11" t="s">
        <v>11</v>
      </c>
      <c r="D89" s="4"/>
      <c r="E89" s="4"/>
      <c r="F89" s="22">
        <f>E89+0</f>
        <v>0</v>
      </c>
    </row>
    <row r="90" spans="1:6" ht="15.75" x14ac:dyDescent="0.25">
      <c r="A90" s="11"/>
      <c r="B90" s="20" t="s">
        <v>32</v>
      </c>
      <c r="C90" s="11" t="s">
        <v>11</v>
      </c>
      <c r="D90" s="4"/>
      <c r="E90" s="4"/>
      <c r="F90" s="22">
        <f>E90</f>
        <v>0</v>
      </c>
    </row>
    <row r="91" spans="1:6" ht="15.75" x14ac:dyDescent="0.25">
      <c r="A91" s="11"/>
      <c r="B91" s="20" t="s">
        <v>18</v>
      </c>
      <c r="C91" s="11" t="s">
        <v>19</v>
      </c>
      <c r="D91" s="4"/>
      <c r="E91" s="4"/>
      <c r="F91" s="22">
        <f>E91</f>
        <v>0</v>
      </c>
    </row>
    <row r="92" spans="1:6" ht="15.75" x14ac:dyDescent="0.25">
      <c r="A92" s="11"/>
      <c r="B92" s="20" t="s">
        <v>20</v>
      </c>
      <c r="C92" s="11" t="s">
        <v>13</v>
      </c>
      <c r="D92" s="4"/>
      <c r="E92" s="4"/>
      <c r="F92" s="22">
        <f>E92</f>
        <v>0</v>
      </c>
    </row>
    <row r="93" spans="1:6" ht="15.75" x14ac:dyDescent="0.25">
      <c r="A93" s="11" t="s">
        <v>50</v>
      </c>
      <c r="B93" s="17" t="s">
        <v>51</v>
      </c>
      <c r="C93" s="11"/>
      <c r="D93" s="16"/>
      <c r="E93" s="16"/>
      <c r="F93" s="22"/>
    </row>
    <row r="94" spans="1:6" ht="15.75" x14ac:dyDescent="0.25">
      <c r="A94" s="11"/>
      <c r="B94" s="20" t="s">
        <v>31</v>
      </c>
      <c r="C94" s="11" t="s">
        <v>11</v>
      </c>
      <c r="D94" s="4"/>
      <c r="E94" s="4"/>
      <c r="F94" s="22">
        <f>E94</f>
        <v>0</v>
      </c>
    </row>
    <row r="95" spans="1:6" ht="15.75" x14ac:dyDescent="0.25">
      <c r="A95" s="11"/>
      <c r="B95" s="20" t="s">
        <v>32</v>
      </c>
      <c r="C95" s="11" t="s">
        <v>11</v>
      </c>
      <c r="D95" s="4"/>
      <c r="E95" s="4"/>
      <c r="F95" s="22">
        <f>E95</f>
        <v>0</v>
      </c>
    </row>
    <row r="96" spans="1:6" ht="15.75" x14ac:dyDescent="0.25">
      <c r="A96" s="11"/>
      <c r="B96" s="20" t="s">
        <v>18</v>
      </c>
      <c r="C96" s="11" t="s">
        <v>19</v>
      </c>
      <c r="D96" s="4"/>
      <c r="E96" s="4"/>
      <c r="F96" s="22">
        <f>E96</f>
        <v>0</v>
      </c>
    </row>
    <row r="97" spans="1:6" ht="15.75" x14ac:dyDescent="0.25">
      <c r="A97" s="11"/>
      <c r="B97" s="20" t="s">
        <v>20</v>
      </c>
      <c r="C97" s="11" t="s">
        <v>13</v>
      </c>
      <c r="D97" s="4"/>
      <c r="E97" s="4"/>
      <c r="F97" s="22">
        <f>E97</f>
        <v>0</v>
      </c>
    </row>
    <row r="98" spans="1:6" ht="15.75" x14ac:dyDescent="0.25">
      <c r="A98" s="11">
        <v>5</v>
      </c>
      <c r="B98" s="17" t="s">
        <v>52</v>
      </c>
      <c r="C98" s="11"/>
      <c r="D98" s="16"/>
      <c r="E98" s="16"/>
      <c r="F98" s="22"/>
    </row>
    <row r="99" spans="1:6" ht="15.75" x14ac:dyDescent="0.25">
      <c r="A99" s="11"/>
      <c r="B99" s="20" t="s">
        <v>31</v>
      </c>
      <c r="C99" s="11" t="s">
        <v>11</v>
      </c>
      <c r="D99" s="4"/>
      <c r="E99" s="4"/>
      <c r="F99" s="22">
        <f>E99</f>
        <v>0</v>
      </c>
    </row>
    <row r="100" spans="1:6" ht="15.75" x14ac:dyDescent="0.25">
      <c r="A100" s="11"/>
      <c r="B100" s="20" t="s">
        <v>32</v>
      </c>
      <c r="C100" s="11" t="s">
        <v>11</v>
      </c>
      <c r="D100" s="4"/>
      <c r="E100" s="4"/>
      <c r="F100" s="22">
        <f>E100</f>
        <v>0</v>
      </c>
    </row>
    <row r="101" spans="1:6" ht="15.75" x14ac:dyDescent="0.25">
      <c r="A101" s="11"/>
      <c r="B101" s="20" t="s">
        <v>18</v>
      </c>
      <c r="C101" s="11" t="s">
        <v>19</v>
      </c>
      <c r="D101" s="4"/>
      <c r="E101" s="4"/>
      <c r="F101" s="22">
        <f>E101</f>
        <v>0</v>
      </c>
    </row>
    <row r="102" spans="1:6" ht="15.75" x14ac:dyDescent="0.25">
      <c r="A102" s="11"/>
      <c r="B102" s="20" t="s">
        <v>20</v>
      </c>
      <c r="C102" s="11" t="s">
        <v>13</v>
      </c>
      <c r="D102" s="4"/>
      <c r="E102" s="4"/>
      <c r="F102" s="22">
        <f>E102</f>
        <v>0</v>
      </c>
    </row>
    <row r="103" spans="1:6" ht="15.75" x14ac:dyDescent="0.25">
      <c r="A103" s="11">
        <v>6</v>
      </c>
      <c r="B103" s="17" t="s">
        <v>53</v>
      </c>
      <c r="C103" s="11"/>
      <c r="D103" s="16"/>
      <c r="E103" s="16"/>
      <c r="F103" s="19"/>
    </row>
    <row r="104" spans="1:6" ht="15.75" x14ac:dyDescent="0.25">
      <c r="A104" s="11"/>
      <c r="B104" s="20" t="s">
        <v>54</v>
      </c>
      <c r="C104" s="11" t="s">
        <v>11</v>
      </c>
      <c r="D104" s="16">
        <f>D109+D114</f>
        <v>0</v>
      </c>
      <c r="E104" s="16">
        <f>E109+E114</f>
        <v>0</v>
      </c>
      <c r="F104" s="22"/>
    </row>
    <row r="105" spans="1:6" ht="15.75" x14ac:dyDescent="0.25">
      <c r="A105" s="11"/>
      <c r="B105" s="20" t="s">
        <v>55</v>
      </c>
      <c r="C105" s="11" t="s">
        <v>11</v>
      </c>
      <c r="D105" s="16">
        <f>D110+D115</f>
        <v>0</v>
      </c>
      <c r="E105" s="16">
        <f>E110+E115</f>
        <v>0</v>
      </c>
      <c r="F105" s="22"/>
    </row>
    <row r="106" spans="1:6" ht="15.75" x14ac:dyDescent="0.25">
      <c r="A106" s="11"/>
      <c r="B106" s="20" t="s">
        <v>56</v>
      </c>
      <c r="C106" s="11" t="s">
        <v>57</v>
      </c>
      <c r="D106" s="16" t="e">
        <f>D107/D105*10</f>
        <v>#DIV/0!</v>
      </c>
      <c r="E106" s="16" t="e">
        <f>E107/E105*10</f>
        <v>#DIV/0!</v>
      </c>
      <c r="F106" s="22"/>
    </row>
    <row r="107" spans="1:6" ht="15.75" x14ac:dyDescent="0.25">
      <c r="A107" s="11"/>
      <c r="B107" s="20" t="s">
        <v>20</v>
      </c>
      <c r="C107" s="11" t="s">
        <v>13</v>
      </c>
      <c r="D107" s="16">
        <f>D112+D117</f>
        <v>0</v>
      </c>
      <c r="E107" s="16">
        <f>E112+E117</f>
        <v>0</v>
      </c>
      <c r="F107" s="22"/>
    </row>
    <row r="108" spans="1:6" ht="15.75" x14ac:dyDescent="0.25">
      <c r="A108" s="11" t="s">
        <v>58</v>
      </c>
      <c r="B108" s="17" t="s">
        <v>59</v>
      </c>
      <c r="C108" s="11"/>
      <c r="D108" s="16"/>
      <c r="E108" s="16"/>
      <c r="F108" s="19"/>
    </row>
    <row r="109" spans="1:6" ht="15.75" x14ac:dyDescent="0.25">
      <c r="A109" s="25"/>
      <c r="B109" s="20" t="s">
        <v>54</v>
      </c>
      <c r="C109" s="11" t="s">
        <v>11</v>
      </c>
      <c r="D109" s="4"/>
      <c r="E109" s="4"/>
      <c r="F109" s="22">
        <f>E109</f>
        <v>0</v>
      </c>
    </row>
    <row r="110" spans="1:6" ht="15.75" x14ac:dyDescent="0.25">
      <c r="A110" s="25"/>
      <c r="B110" s="20" t="s">
        <v>55</v>
      </c>
      <c r="C110" s="11" t="s">
        <v>11</v>
      </c>
      <c r="D110" s="4"/>
      <c r="E110" s="4"/>
      <c r="F110" s="22">
        <f>E110</f>
        <v>0</v>
      </c>
    </row>
    <row r="111" spans="1:6" ht="15.75" x14ac:dyDescent="0.25">
      <c r="A111" s="25"/>
      <c r="B111" s="20" t="s">
        <v>56</v>
      </c>
      <c r="C111" s="11" t="s">
        <v>57</v>
      </c>
      <c r="D111" s="4"/>
      <c r="E111" s="4"/>
      <c r="F111" s="22">
        <f>E111</f>
        <v>0</v>
      </c>
    </row>
    <row r="112" spans="1:6" ht="15.75" x14ac:dyDescent="0.25">
      <c r="A112" s="25"/>
      <c r="B112" s="20" t="s">
        <v>20</v>
      </c>
      <c r="C112" s="11" t="s">
        <v>13</v>
      </c>
      <c r="D112" s="4"/>
      <c r="E112" s="4"/>
      <c r="F112" s="22">
        <f>E112</f>
        <v>0</v>
      </c>
    </row>
    <row r="113" spans="1:6" ht="15.75" x14ac:dyDescent="0.25">
      <c r="A113" s="11" t="s">
        <v>60</v>
      </c>
      <c r="B113" s="17" t="s">
        <v>61</v>
      </c>
      <c r="C113" s="11"/>
      <c r="D113" s="16"/>
      <c r="E113" s="16"/>
      <c r="F113" s="19"/>
    </row>
    <row r="114" spans="1:6" ht="15.75" x14ac:dyDescent="0.25">
      <c r="A114" s="25"/>
      <c r="B114" s="20" t="s">
        <v>54</v>
      </c>
      <c r="C114" s="11" t="s">
        <v>11</v>
      </c>
      <c r="D114" s="23">
        <f t="shared" ref="D114:F115" si="5">D119+D124+D129+D134+D139+D149+D159+D164</f>
        <v>0</v>
      </c>
      <c r="E114" s="23">
        <f t="shared" si="5"/>
        <v>0</v>
      </c>
      <c r="F114" s="23">
        <f t="shared" si="5"/>
        <v>0</v>
      </c>
    </row>
    <row r="115" spans="1:6" ht="15.75" x14ac:dyDescent="0.25">
      <c r="A115" s="25"/>
      <c r="B115" s="20" t="s">
        <v>55</v>
      </c>
      <c r="C115" s="11" t="s">
        <v>11</v>
      </c>
      <c r="D115" s="23">
        <f t="shared" si="5"/>
        <v>0</v>
      </c>
      <c r="E115" s="23">
        <f t="shared" si="5"/>
        <v>0</v>
      </c>
      <c r="F115" s="23">
        <f t="shared" si="5"/>
        <v>0</v>
      </c>
    </row>
    <row r="116" spans="1:6" ht="15.75" x14ac:dyDescent="0.25">
      <c r="A116" s="25"/>
      <c r="B116" s="20" t="s">
        <v>56</v>
      </c>
      <c r="C116" s="11" t="s">
        <v>19</v>
      </c>
      <c r="D116" s="23" t="e">
        <f>D117/D115*10</f>
        <v>#DIV/0!</v>
      </c>
      <c r="E116" s="23" t="e">
        <f>E117/E115*10</f>
        <v>#DIV/0!</v>
      </c>
      <c r="F116" s="23" t="e">
        <f>F117/F115*10</f>
        <v>#DIV/0!</v>
      </c>
    </row>
    <row r="117" spans="1:6" ht="15.75" x14ac:dyDescent="0.25">
      <c r="A117" s="25"/>
      <c r="B117" s="20" t="s">
        <v>20</v>
      </c>
      <c r="C117" s="11" t="s">
        <v>13</v>
      </c>
      <c r="D117" s="23">
        <f>D122+D127+D132+D137+D142+D147+D152+D162+D167</f>
        <v>0</v>
      </c>
      <c r="E117" s="23">
        <f>E122+E127+E132+E137+E142+E147+E152+E162+E167</f>
        <v>0</v>
      </c>
      <c r="F117" s="23">
        <f>F122+F127+F132+F137+F142+F147+F152+F162+F167</f>
        <v>0</v>
      </c>
    </row>
    <row r="118" spans="1:6" ht="15.75" x14ac:dyDescent="0.25">
      <c r="A118" s="25" t="s">
        <v>62</v>
      </c>
      <c r="B118" s="26" t="s">
        <v>63</v>
      </c>
      <c r="C118" s="27"/>
      <c r="D118" s="23"/>
      <c r="E118" s="23"/>
      <c r="F118" s="22"/>
    </row>
    <row r="119" spans="1:6" ht="15.75" x14ac:dyDescent="0.25">
      <c r="A119" s="25"/>
      <c r="B119" s="28" t="s">
        <v>64</v>
      </c>
      <c r="C119" s="27" t="s">
        <v>11</v>
      </c>
      <c r="D119" s="7"/>
      <c r="E119" s="7"/>
      <c r="F119" s="22">
        <f>E119</f>
        <v>0</v>
      </c>
    </row>
    <row r="120" spans="1:6" ht="15.75" x14ac:dyDescent="0.25">
      <c r="A120" s="25"/>
      <c r="B120" s="28" t="s">
        <v>65</v>
      </c>
      <c r="C120" s="27" t="s">
        <v>11</v>
      </c>
      <c r="D120" s="7"/>
      <c r="E120" s="7"/>
      <c r="F120" s="22">
        <f>E120</f>
        <v>0</v>
      </c>
    </row>
    <row r="121" spans="1:6" ht="15.75" x14ac:dyDescent="0.25">
      <c r="A121" s="25"/>
      <c r="B121" s="28" t="s">
        <v>56</v>
      </c>
      <c r="C121" s="27" t="s">
        <v>19</v>
      </c>
      <c r="D121" s="7"/>
      <c r="E121" s="7"/>
      <c r="F121" s="22">
        <f>E121</f>
        <v>0</v>
      </c>
    </row>
    <row r="122" spans="1:6" ht="15.75" x14ac:dyDescent="0.25">
      <c r="A122" s="25"/>
      <c r="B122" s="28" t="s">
        <v>66</v>
      </c>
      <c r="C122" s="27" t="s">
        <v>13</v>
      </c>
      <c r="D122" s="7"/>
      <c r="E122" s="7"/>
      <c r="F122" s="22">
        <f>E122</f>
        <v>0</v>
      </c>
    </row>
    <row r="123" spans="1:6" ht="15.75" x14ac:dyDescent="0.25">
      <c r="A123" s="25" t="s">
        <v>67</v>
      </c>
      <c r="B123" s="26" t="s">
        <v>68</v>
      </c>
      <c r="C123" s="27"/>
      <c r="D123" s="23"/>
      <c r="E123" s="23"/>
      <c r="F123" s="22"/>
    </row>
    <row r="124" spans="1:6" ht="15.75" x14ac:dyDescent="0.25">
      <c r="A124" s="25"/>
      <c r="B124" s="28" t="s">
        <v>64</v>
      </c>
      <c r="C124" s="27" t="s">
        <v>11</v>
      </c>
      <c r="D124" s="7"/>
      <c r="E124" s="7"/>
      <c r="F124" s="22">
        <f>E124</f>
        <v>0</v>
      </c>
    </row>
    <row r="125" spans="1:6" ht="15.75" x14ac:dyDescent="0.25">
      <c r="A125" s="25"/>
      <c r="B125" s="28" t="s">
        <v>65</v>
      </c>
      <c r="C125" s="27" t="s">
        <v>11</v>
      </c>
      <c r="D125" s="7"/>
      <c r="E125" s="7"/>
      <c r="F125" s="22">
        <f>E125</f>
        <v>0</v>
      </c>
    </row>
    <row r="126" spans="1:6" ht="15.75" x14ac:dyDescent="0.25">
      <c r="A126" s="25"/>
      <c r="B126" s="28" t="s">
        <v>56</v>
      </c>
      <c r="C126" s="27" t="s">
        <v>19</v>
      </c>
      <c r="D126" s="7"/>
      <c r="E126" s="7"/>
      <c r="F126" s="22">
        <f>E126</f>
        <v>0</v>
      </c>
    </row>
    <row r="127" spans="1:6" ht="15.75" x14ac:dyDescent="0.25">
      <c r="A127" s="25"/>
      <c r="B127" s="28" t="s">
        <v>66</v>
      </c>
      <c r="C127" s="27" t="s">
        <v>13</v>
      </c>
      <c r="D127" s="7"/>
      <c r="E127" s="7"/>
      <c r="F127" s="22">
        <f>E127</f>
        <v>0</v>
      </c>
    </row>
    <row r="128" spans="1:6" ht="15.75" x14ac:dyDescent="0.25">
      <c r="A128" s="25" t="s">
        <v>69</v>
      </c>
      <c r="B128" s="26" t="s">
        <v>70</v>
      </c>
      <c r="C128" s="27"/>
      <c r="D128" s="23"/>
      <c r="E128" s="23"/>
      <c r="F128" s="22"/>
    </row>
    <row r="129" spans="1:6" ht="15.75" x14ac:dyDescent="0.25">
      <c r="A129" s="25"/>
      <c r="B129" s="28" t="s">
        <v>64</v>
      </c>
      <c r="C129" s="27" t="s">
        <v>11</v>
      </c>
      <c r="D129" s="7"/>
      <c r="E129" s="7"/>
      <c r="F129" s="22">
        <f>E129</f>
        <v>0</v>
      </c>
    </row>
    <row r="130" spans="1:6" ht="15.75" x14ac:dyDescent="0.25">
      <c r="A130" s="25"/>
      <c r="B130" s="28" t="s">
        <v>65</v>
      </c>
      <c r="C130" s="27" t="s">
        <v>11</v>
      </c>
      <c r="D130" s="7"/>
      <c r="E130" s="7"/>
      <c r="F130" s="22">
        <f>E130</f>
        <v>0</v>
      </c>
    </row>
    <row r="131" spans="1:6" ht="15.75" x14ac:dyDescent="0.25">
      <c r="A131" s="25"/>
      <c r="B131" s="28" t="s">
        <v>56</v>
      </c>
      <c r="C131" s="27" t="s">
        <v>19</v>
      </c>
      <c r="D131" s="7"/>
      <c r="E131" s="7"/>
      <c r="F131" s="22">
        <f>E131</f>
        <v>0</v>
      </c>
    </row>
    <row r="132" spans="1:6" ht="15.75" x14ac:dyDescent="0.25">
      <c r="A132" s="25"/>
      <c r="B132" s="28" t="s">
        <v>66</v>
      </c>
      <c r="C132" s="27" t="s">
        <v>13</v>
      </c>
      <c r="D132" s="7"/>
      <c r="E132" s="7"/>
      <c r="F132" s="22">
        <f>E132</f>
        <v>0</v>
      </c>
    </row>
    <row r="133" spans="1:6" ht="15.75" x14ac:dyDescent="0.25">
      <c r="A133" s="25" t="s">
        <v>71</v>
      </c>
      <c r="B133" s="26" t="s">
        <v>72</v>
      </c>
      <c r="C133" s="27"/>
      <c r="D133" s="23"/>
      <c r="E133" s="23"/>
      <c r="F133" s="22"/>
    </row>
    <row r="134" spans="1:6" ht="15.75" x14ac:dyDescent="0.25">
      <c r="A134" s="25"/>
      <c r="B134" s="28" t="s">
        <v>64</v>
      </c>
      <c r="C134" s="27" t="s">
        <v>11</v>
      </c>
      <c r="D134" s="7"/>
      <c r="E134" s="7"/>
      <c r="F134" s="22">
        <f>E134</f>
        <v>0</v>
      </c>
    </row>
    <row r="135" spans="1:6" ht="15.75" x14ac:dyDescent="0.25">
      <c r="A135" s="25"/>
      <c r="B135" s="28" t="s">
        <v>65</v>
      </c>
      <c r="C135" s="27" t="s">
        <v>11</v>
      </c>
      <c r="D135" s="7"/>
      <c r="E135" s="7"/>
      <c r="F135" s="22">
        <f>E135</f>
        <v>0</v>
      </c>
    </row>
    <row r="136" spans="1:6" ht="15.75" x14ac:dyDescent="0.25">
      <c r="A136" s="25"/>
      <c r="B136" s="28" t="s">
        <v>56</v>
      </c>
      <c r="C136" s="27" t="s">
        <v>19</v>
      </c>
      <c r="D136" s="7"/>
      <c r="E136" s="7"/>
      <c r="F136" s="22">
        <f>E136</f>
        <v>0</v>
      </c>
    </row>
    <row r="137" spans="1:6" ht="15.75" x14ac:dyDescent="0.25">
      <c r="A137" s="25"/>
      <c r="B137" s="28" t="s">
        <v>66</v>
      </c>
      <c r="C137" s="27" t="s">
        <v>13</v>
      </c>
      <c r="D137" s="7"/>
      <c r="E137" s="7"/>
      <c r="F137" s="22">
        <f>E137</f>
        <v>0</v>
      </c>
    </row>
    <row r="138" spans="1:6" ht="15.75" x14ac:dyDescent="0.25">
      <c r="A138" s="25" t="s">
        <v>73</v>
      </c>
      <c r="B138" s="26" t="s">
        <v>74</v>
      </c>
      <c r="C138" s="27"/>
      <c r="D138" s="23"/>
      <c r="E138" s="23"/>
      <c r="F138" s="22"/>
    </row>
    <row r="139" spans="1:6" ht="15.75" x14ac:dyDescent="0.25">
      <c r="A139" s="25"/>
      <c r="B139" s="28" t="s">
        <v>64</v>
      </c>
      <c r="C139" s="27" t="s">
        <v>11</v>
      </c>
      <c r="D139" s="7"/>
      <c r="E139" s="7"/>
      <c r="F139" s="22">
        <f>E139</f>
        <v>0</v>
      </c>
    </row>
    <row r="140" spans="1:6" ht="15.75" x14ac:dyDescent="0.25">
      <c r="A140" s="25"/>
      <c r="B140" s="28" t="s">
        <v>65</v>
      </c>
      <c r="C140" s="27" t="s">
        <v>11</v>
      </c>
      <c r="D140" s="7"/>
      <c r="E140" s="7"/>
      <c r="F140" s="22">
        <f>E140</f>
        <v>0</v>
      </c>
    </row>
    <row r="141" spans="1:6" ht="15.75" x14ac:dyDescent="0.25">
      <c r="A141" s="25"/>
      <c r="B141" s="28" t="s">
        <v>56</v>
      </c>
      <c r="C141" s="27" t="s">
        <v>19</v>
      </c>
      <c r="D141" s="7"/>
      <c r="E141" s="7"/>
      <c r="F141" s="22">
        <f>E141</f>
        <v>0</v>
      </c>
    </row>
    <row r="142" spans="1:6" ht="15.75" x14ac:dyDescent="0.25">
      <c r="A142" s="25"/>
      <c r="B142" s="28" t="s">
        <v>66</v>
      </c>
      <c r="C142" s="27" t="s">
        <v>13</v>
      </c>
      <c r="D142" s="7"/>
      <c r="E142" s="7"/>
      <c r="F142" s="22">
        <f>E142</f>
        <v>0</v>
      </c>
    </row>
    <row r="143" spans="1:6" ht="15.75" x14ac:dyDescent="0.25">
      <c r="A143" s="25"/>
      <c r="B143" s="29" t="s">
        <v>75</v>
      </c>
      <c r="C143" s="27"/>
      <c r="D143" s="23"/>
      <c r="E143" s="23"/>
      <c r="F143" s="22"/>
    </row>
    <row r="144" spans="1:6" ht="15.75" x14ac:dyDescent="0.25">
      <c r="A144" s="25"/>
      <c r="B144" s="28" t="s">
        <v>64</v>
      </c>
      <c r="C144" s="27" t="s">
        <v>11</v>
      </c>
      <c r="D144" s="7"/>
      <c r="E144" s="7"/>
      <c r="F144" s="22">
        <f>E144</f>
        <v>0</v>
      </c>
    </row>
    <row r="145" spans="1:6" ht="15.75" x14ac:dyDescent="0.25">
      <c r="A145" s="25"/>
      <c r="B145" s="28" t="s">
        <v>65</v>
      </c>
      <c r="C145" s="27" t="s">
        <v>11</v>
      </c>
      <c r="D145" s="7"/>
      <c r="E145" s="7"/>
      <c r="F145" s="22">
        <f>E145</f>
        <v>0</v>
      </c>
    </row>
    <row r="146" spans="1:6" ht="15.75" x14ac:dyDescent="0.25">
      <c r="A146" s="25"/>
      <c r="B146" s="28" t="s">
        <v>56</v>
      </c>
      <c r="C146" s="27" t="s">
        <v>19</v>
      </c>
      <c r="D146" s="7"/>
      <c r="E146" s="7"/>
      <c r="F146" s="22">
        <f>E146</f>
        <v>0</v>
      </c>
    </row>
    <row r="147" spans="1:6" ht="15.75" x14ac:dyDescent="0.25">
      <c r="A147" s="25"/>
      <c r="B147" s="28" t="s">
        <v>66</v>
      </c>
      <c r="C147" s="27" t="s">
        <v>13</v>
      </c>
      <c r="D147" s="7"/>
      <c r="E147" s="7"/>
      <c r="F147" s="22">
        <f>E147</f>
        <v>0</v>
      </c>
    </row>
    <row r="148" spans="1:6" ht="15.75" x14ac:dyDescent="0.25">
      <c r="A148" s="25" t="s">
        <v>76</v>
      </c>
      <c r="B148" s="26" t="s">
        <v>77</v>
      </c>
      <c r="C148" s="27"/>
      <c r="D148" s="23"/>
      <c r="E148" s="23"/>
      <c r="F148" s="22"/>
    </row>
    <row r="149" spans="1:6" ht="15.75" x14ac:dyDescent="0.25">
      <c r="A149" s="25"/>
      <c r="B149" s="28" t="s">
        <v>64</v>
      </c>
      <c r="C149" s="27" t="s">
        <v>11</v>
      </c>
      <c r="D149" s="7"/>
      <c r="E149" s="7"/>
      <c r="F149" s="22">
        <f>E149</f>
        <v>0</v>
      </c>
    </row>
    <row r="150" spans="1:6" ht="15.75" x14ac:dyDescent="0.25">
      <c r="A150" s="25"/>
      <c r="B150" s="28" t="s">
        <v>65</v>
      </c>
      <c r="C150" s="27" t="s">
        <v>11</v>
      </c>
      <c r="D150" s="7"/>
      <c r="E150" s="7"/>
      <c r="F150" s="22">
        <f>E150</f>
        <v>0</v>
      </c>
    </row>
    <row r="151" spans="1:6" ht="15.75" x14ac:dyDescent="0.25">
      <c r="A151" s="25"/>
      <c r="B151" s="28" t="s">
        <v>56</v>
      </c>
      <c r="C151" s="27" t="s">
        <v>19</v>
      </c>
      <c r="D151" s="7"/>
      <c r="E151" s="7"/>
      <c r="F151" s="22">
        <f>E151</f>
        <v>0</v>
      </c>
    </row>
    <row r="152" spans="1:6" ht="15.75" x14ac:dyDescent="0.25">
      <c r="A152" s="25"/>
      <c r="B152" s="28" t="s">
        <v>66</v>
      </c>
      <c r="C152" s="27" t="s">
        <v>13</v>
      </c>
      <c r="D152" s="7"/>
      <c r="E152" s="7"/>
      <c r="F152" s="22">
        <f>E152</f>
        <v>0</v>
      </c>
    </row>
    <row r="153" spans="1:6" ht="15.75" x14ac:dyDescent="0.25">
      <c r="A153" s="25"/>
      <c r="B153" s="29" t="s">
        <v>78</v>
      </c>
      <c r="C153" s="27"/>
      <c r="D153" s="23"/>
      <c r="E153" s="23"/>
      <c r="F153" s="22"/>
    </row>
    <row r="154" spans="1:6" ht="15.75" x14ac:dyDescent="0.25">
      <c r="A154" s="25"/>
      <c r="B154" s="28" t="s">
        <v>64</v>
      </c>
      <c r="C154" s="27" t="s">
        <v>11</v>
      </c>
      <c r="D154" s="7"/>
      <c r="E154" s="7"/>
      <c r="F154" s="22">
        <f>E154</f>
        <v>0</v>
      </c>
    </row>
    <row r="155" spans="1:6" ht="15.75" x14ac:dyDescent="0.25">
      <c r="A155" s="25"/>
      <c r="B155" s="28" t="s">
        <v>65</v>
      </c>
      <c r="C155" s="27" t="s">
        <v>11</v>
      </c>
      <c r="D155" s="7"/>
      <c r="E155" s="7"/>
      <c r="F155" s="22">
        <f>E155</f>
        <v>0</v>
      </c>
    </row>
    <row r="156" spans="1:6" ht="15.75" x14ac:dyDescent="0.25">
      <c r="A156" s="25"/>
      <c r="B156" s="28" t="s">
        <v>56</v>
      </c>
      <c r="C156" s="27" t="s">
        <v>19</v>
      </c>
      <c r="D156" s="7"/>
      <c r="E156" s="7"/>
      <c r="F156" s="22">
        <f>E156</f>
        <v>0</v>
      </c>
    </row>
    <row r="157" spans="1:6" ht="15.75" x14ac:dyDescent="0.25">
      <c r="A157" s="25"/>
      <c r="B157" s="28" t="s">
        <v>66</v>
      </c>
      <c r="C157" s="27" t="s">
        <v>13</v>
      </c>
      <c r="D157" s="7"/>
      <c r="E157" s="7"/>
      <c r="F157" s="22">
        <f>E157</f>
        <v>0</v>
      </c>
    </row>
    <row r="158" spans="1:6" ht="15.75" x14ac:dyDescent="0.25">
      <c r="A158" s="25" t="s">
        <v>79</v>
      </c>
      <c r="B158" s="26" t="s">
        <v>80</v>
      </c>
      <c r="C158" s="27"/>
      <c r="D158" s="23"/>
      <c r="E158" s="23"/>
      <c r="F158" s="22"/>
    </row>
    <row r="159" spans="1:6" ht="15.75" x14ac:dyDescent="0.25">
      <c r="A159" s="25"/>
      <c r="B159" s="28" t="s">
        <v>64</v>
      </c>
      <c r="C159" s="27" t="s">
        <v>11</v>
      </c>
      <c r="D159" s="7"/>
      <c r="E159" s="7"/>
      <c r="F159" s="22">
        <f>E159</f>
        <v>0</v>
      </c>
    </row>
    <row r="160" spans="1:6" ht="15.75" x14ac:dyDescent="0.25">
      <c r="A160" s="25"/>
      <c r="B160" s="28" t="s">
        <v>65</v>
      </c>
      <c r="C160" s="27" t="s">
        <v>11</v>
      </c>
      <c r="D160" s="7"/>
      <c r="E160" s="7"/>
      <c r="F160" s="22">
        <f>E160</f>
        <v>0</v>
      </c>
    </row>
    <row r="161" spans="1:6" ht="15.75" x14ac:dyDescent="0.25">
      <c r="A161" s="25"/>
      <c r="B161" s="28" t="s">
        <v>56</v>
      </c>
      <c r="C161" s="27" t="s">
        <v>19</v>
      </c>
      <c r="D161" s="7"/>
      <c r="E161" s="7"/>
      <c r="F161" s="22">
        <f>E161</f>
        <v>0</v>
      </c>
    </row>
    <row r="162" spans="1:6" ht="15.75" x14ac:dyDescent="0.25">
      <c r="A162" s="25"/>
      <c r="B162" s="28" t="s">
        <v>66</v>
      </c>
      <c r="C162" s="27" t="s">
        <v>13</v>
      </c>
      <c r="D162" s="7"/>
      <c r="E162" s="7"/>
      <c r="F162" s="22">
        <f>E162</f>
        <v>0</v>
      </c>
    </row>
    <row r="163" spans="1:6" ht="15.75" x14ac:dyDescent="0.25">
      <c r="A163" s="25" t="s">
        <v>81</v>
      </c>
      <c r="B163" s="26" t="s">
        <v>82</v>
      </c>
      <c r="C163" s="27"/>
      <c r="D163" s="23"/>
      <c r="E163" s="23"/>
      <c r="F163" s="22"/>
    </row>
    <row r="164" spans="1:6" ht="15.75" x14ac:dyDescent="0.25">
      <c r="A164" s="25"/>
      <c r="B164" s="28" t="s">
        <v>64</v>
      </c>
      <c r="C164" s="27" t="s">
        <v>11</v>
      </c>
      <c r="D164" s="7"/>
      <c r="E164" s="7"/>
      <c r="F164" s="22">
        <f>E164</f>
        <v>0</v>
      </c>
    </row>
    <row r="165" spans="1:6" ht="15.75" x14ac:dyDescent="0.25">
      <c r="A165" s="25"/>
      <c r="B165" s="28" t="s">
        <v>65</v>
      </c>
      <c r="C165" s="27" t="s">
        <v>11</v>
      </c>
      <c r="D165" s="7"/>
      <c r="E165" s="7"/>
      <c r="F165" s="22">
        <f>E165</f>
        <v>0</v>
      </c>
    </row>
    <row r="166" spans="1:6" ht="15.75" x14ac:dyDescent="0.25">
      <c r="A166" s="25"/>
      <c r="B166" s="28" t="s">
        <v>56</v>
      </c>
      <c r="C166" s="27" t="s">
        <v>19</v>
      </c>
      <c r="D166" s="7"/>
      <c r="E166" s="7"/>
      <c r="F166" s="22">
        <f>E166</f>
        <v>0</v>
      </c>
    </row>
    <row r="167" spans="1:6" ht="15.75" x14ac:dyDescent="0.25">
      <c r="A167" s="25"/>
      <c r="B167" s="28" t="s">
        <v>66</v>
      </c>
      <c r="C167" s="27" t="s">
        <v>13</v>
      </c>
      <c r="D167" s="7"/>
      <c r="E167" s="7"/>
      <c r="F167" s="22">
        <f>E167</f>
        <v>0</v>
      </c>
    </row>
    <row r="168" spans="1:6" ht="15.75" x14ac:dyDescent="0.25">
      <c r="A168" s="11" t="s">
        <v>83</v>
      </c>
      <c r="B168" s="17" t="s">
        <v>84</v>
      </c>
      <c r="C168" s="11"/>
      <c r="D168" s="16"/>
      <c r="E168" s="16"/>
      <c r="F168" s="22"/>
    </row>
    <row r="169" spans="1:6" ht="15.75" x14ac:dyDescent="0.25">
      <c r="A169" s="25">
        <v>1</v>
      </c>
      <c r="B169" s="30" t="s">
        <v>85</v>
      </c>
      <c r="C169" s="11" t="s">
        <v>86</v>
      </c>
      <c r="D169" s="4"/>
      <c r="E169" s="4"/>
      <c r="F169" s="22">
        <f t="shared" ref="F169:F173" si="6">E169</f>
        <v>0</v>
      </c>
    </row>
    <row r="170" spans="1:6" ht="15.75" x14ac:dyDescent="0.25">
      <c r="A170" s="25">
        <v>2</v>
      </c>
      <c r="B170" s="30" t="s">
        <v>87</v>
      </c>
      <c r="C170" s="11" t="s">
        <v>86</v>
      </c>
      <c r="D170" s="4"/>
      <c r="E170" s="4"/>
      <c r="F170" s="22">
        <f>E170</f>
        <v>0</v>
      </c>
    </row>
    <row r="171" spans="1:6" ht="31.5" x14ac:dyDescent="0.25">
      <c r="A171" s="25">
        <v>3</v>
      </c>
      <c r="B171" s="31" t="s">
        <v>88</v>
      </c>
      <c r="C171" s="11" t="s">
        <v>86</v>
      </c>
      <c r="D171" s="4"/>
      <c r="E171" s="4"/>
      <c r="F171" s="22">
        <f t="shared" si="6"/>
        <v>0</v>
      </c>
    </row>
    <row r="172" spans="1:6" ht="15.75" x14ac:dyDescent="0.25">
      <c r="A172" s="25">
        <v>4</v>
      </c>
      <c r="B172" s="30" t="s">
        <v>89</v>
      </c>
      <c r="C172" s="11" t="s">
        <v>86</v>
      </c>
      <c r="D172" s="4"/>
      <c r="E172" s="4"/>
      <c r="F172" s="22">
        <f>E172</f>
        <v>0</v>
      </c>
    </row>
    <row r="173" spans="1:6" ht="15.75" x14ac:dyDescent="0.25">
      <c r="A173" s="11" t="s">
        <v>90</v>
      </c>
      <c r="B173" s="32" t="s">
        <v>91</v>
      </c>
      <c r="C173" s="11"/>
      <c r="D173" s="16"/>
      <c r="E173" s="16"/>
      <c r="F173" s="22">
        <f t="shared" si="6"/>
        <v>0</v>
      </c>
    </row>
    <row r="174" spans="1:6" ht="15.75" x14ac:dyDescent="0.25">
      <c r="A174" s="11" t="s">
        <v>8</v>
      </c>
      <c r="B174" s="30" t="s">
        <v>92</v>
      </c>
      <c r="C174" s="11" t="s">
        <v>11</v>
      </c>
      <c r="D174" s="4"/>
      <c r="E174" s="4"/>
      <c r="F174" s="22">
        <f>E174</f>
        <v>0</v>
      </c>
    </row>
    <row r="175" spans="1:6" ht="15.75" x14ac:dyDescent="0.25">
      <c r="A175" s="11" t="s">
        <v>83</v>
      </c>
      <c r="B175" s="20" t="s">
        <v>93</v>
      </c>
      <c r="C175" s="11" t="s">
        <v>11</v>
      </c>
      <c r="D175" s="4"/>
      <c r="E175" s="4"/>
      <c r="F175" s="22">
        <f>E175</f>
        <v>0</v>
      </c>
    </row>
    <row r="176" spans="1:6" ht="18.75" x14ac:dyDescent="0.25">
      <c r="A176" s="11" t="s">
        <v>94</v>
      </c>
      <c r="B176" s="20" t="s">
        <v>95</v>
      </c>
      <c r="C176" s="11" t="s">
        <v>96</v>
      </c>
      <c r="D176" s="4"/>
      <c r="E176" s="4"/>
      <c r="F176" s="22">
        <f>E176</f>
        <v>0</v>
      </c>
    </row>
    <row r="177" spans="1:6" ht="15.75" x14ac:dyDescent="0.25">
      <c r="A177" s="11" t="s">
        <v>97</v>
      </c>
      <c r="B177" s="17" t="s">
        <v>98</v>
      </c>
      <c r="C177" s="11"/>
      <c r="D177" s="16"/>
      <c r="E177" s="16"/>
      <c r="F177" s="19"/>
    </row>
    <row r="178" spans="1:6" ht="15.75" x14ac:dyDescent="0.25">
      <c r="A178" s="27" t="s">
        <v>8</v>
      </c>
      <c r="B178" s="26" t="s">
        <v>99</v>
      </c>
      <c r="C178" s="27" t="s">
        <v>11</v>
      </c>
      <c r="D178" s="16">
        <f>D179+D184</f>
        <v>0</v>
      </c>
      <c r="E178" s="16">
        <f>E179+E184</f>
        <v>0</v>
      </c>
      <c r="F178" s="16">
        <f>F179+F184</f>
        <v>0</v>
      </c>
    </row>
    <row r="179" spans="1:6" ht="15.75" x14ac:dyDescent="0.25">
      <c r="A179" s="27">
        <v>1</v>
      </c>
      <c r="B179" s="26" t="s">
        <v>100</v>
      </c>
      <c r="C179" s="27" t="s">
        <v>11</v>
      </c>
      <c r="D179" s="16">
        <f>SUM(D180:D183)</f>
        <v>0</v>
      </c>
      <c r="E179" s="16">
        <f>SUM(E180:E183)</f>
        <v>0</v>
      </c>
      <c r="F179" s="16">
        <f>SUM(F180:F183)</f>
        <v>0</v>
      </c>
    </row>
    <row r="180" spans="1:6" ht="15.75" x14ac:dyDescent="0.25">
      <c r="A180" s="33"/>
      <c r="B180" s="28" t="s">
        <v>101</v>
      </c>
      <c r="C180" s="27" t="s">
        <v>11</v>
      </c>
      <c r="D180" s="4"/>
      <c r="E180" s="4"/>
      <c r="F180" s="22">
        <f>E180</f>
        <v>0</v>
      </c>
    </row>
    <row r="181" spans="1:6" ht="15.75" x14ac:dyDescent="0.25">
      <c r="A181" s="33"/>
      <c r="B181" s="28" t="s">
        <v>102</v>
      </c>
      <c r="C181" s="27" t="s">
        <v>11</v>
      </c>
      <c r="D181" s="4"/>
      <c r="E181" s="4"/>
      <c r="F181" s="22">
        <f>E181</f>
        <v>0</v>
      </c>
    </row>
    <row r="182" spans="1:6" ht="15.75" x14ac:dyDescent="0.25">
      <c r="A182" s="33"/>
      <c r="B182" s="28" t="s">
        <v>103</v>
      </c>
      <c r="C182" s="27" t="s">
        <v>11</v>
      </c>
      <c r="D182" s="4"/>
      <c r="E182" s="4"/>
      <c r="F182" s="22">
        <f>E182</f>
        <v>0</v>
      </c>
    </row>
    <row r="183" spans="1:6" ht="15.75" x14ac:dyDescent="0.25">
      <c r="A183" s="33"/>
      <c r="B183" s="28" t="s">
        <v>104</v>
      </c>
      <c r="C183" s="27" t="s">
        <v>11</v>
      </c>
      <c r="D183" s="4"/>
      <c r="E183" s="4"/>
      <c r="F183" s="22">
        <f>E183</f>
        <v>0</v>
      </c>
    </row>
    <row r="184" spans="1:6" ht="15.75" x14ac:dyDescent="0.25">
      <c r="A184" s="27">
        <v>2</v>
      </c>
      <c r="B184" s="26" t="s">
        <v>105</v>
      </c>
      <c r="C184" s="27" t="s">
        <v>11</v>
      </c>
      <c r="D184" s="16">
        <f>D185+D187+D188</f>
        <v>0</v>
      </c>
      <c r="E184" s="16">
        <f>E185+E187+E188</f>
        <v>0</v>
      </c>
      <c r="F184" s="16">
        <f>F185+F187+F188</f>
        <v>0</v>
      </c>
    </row>
    <row r="185" spans="1:6" ht="15.75" x14ac:dyDescent="0.25">
      <c r="A185" s="33"/>
      <c r="B185" s="28" t="s">
        <v>101</v>
      </c>
      <c r="C185" s="27" t="s">
        <v>11</v>
      </c>
      <c r="D185" s="4"/>
      <c r="E185" s="4"/>
      <c r="F185" s="22">
        <f>E185</f>
        <v>0</v>
      </c>
    </row>
    <row r="186" spans="1:6" ht="15.75" x14ac:dyDescent="0.25">
      <c r="A186" s="33"/>
      <c r="B186" s="28" t="s">
        <v>106</v>
      </c>
      <c r="C186" s="27"/>
      <c r="D186" s="16"/>
      <c r="E186" s="16"/>
      <c r="F186" s="22"/>
    </row>
    <row r="187" spans="1:6" ht="15.75" x14ac:dyDescent="0.25">
      <c r="A187" s="33"/>
      <c r="B187" s="28" t="s">
        <v>102</v>
      </c>
      <c r="C187" s="27" t="s">
        <v>11</v>
      </c>
      <c r="D187" s="4"/>
      <c r="E187" s="4"/>
      <c r="F187" s="22">
        <f>E187</f>
        <v>0</v>
      </c>
    </row>
    <row r="188" spans="1:6" ht="15.75" x14ac:dyDescent="0.25">
      <c r="A188" s="33"/>
      <c r="B188" s="28" t="s">
        <v>107</v>
      </c>
      <c r="C188" s="27" t="s">
        <v>11</v>
      </c>
      <c r="D188" s="4"/>
      <c r="E188" s="4"/>
      <c r="F188" s="22">
        <f>E188</f>
        <v>0</v>
      </c>
    </row>
    <row r="189" spans="1:6" ht="15.75" x14ac:dyDescent="0.25">
      <c r="A189" s="27" t="s">
        <v>83</v>
      </c>
      <c r="B189" s="26" t="s">
        <v>108</v>
      </c>
      <c r="C189" s="27" t="s">
        <v>13</v>
      </c>
      <c r="D189" s="24">
        <f>D190+D201</f>
        <v>0</v>
      </c>
      <c r="E189" s="24">
        <f>E190+E201</f>
        <v>0</v>
      </c>
      <c r="F189" s="24">
        <f>F190+F201</f>
        <v>0</v>
      </c>
    </row>
    <row r="190" spans="1:6" ht="15.75" x14ac:dyDescent="0.25">
      <c r="A190" s="27">
        <v>1</v>
      </c>
      <c r="B190" s="26" t="s">
        <v>109</v>
      </c>
      <c r="C190" s="27" t="s">
        <v>13</v>
      </c>
      <c r="D190" s="24">
        <f>D191+D196</f>
        <v>0</v>
      </c>
      <c r="E190" s="24">
        <f>E191+E196</f>
        <v>0</v>
      </c>
      <c r="F190" s="24">
        <f>F191+F196</f>
        <v>0</v>
      </c>
    </row>
    <row r="191" spans="1:6" ht="15.75" x14ac:dyDescent="0.25">
      <c r="A191" s="27" t="s">
        <v>14</v>
      </c>
      <c r="B191" s="26" t="s">
        <v>110</v>
      </c>
      <c r="C191" s="27" t="s">
        <v>13</v>
      </c>
      <c r="D191" s="24">
        <f>SUM(D192:D195)</f>
        <v>0</v>
      </c>
      <c r="E191" s="24">
        <f>SUM(E192:E195)</f>
        <v>0</v>
      </c>
      <c r="F191" s="24">
        <f>SUM(F192:F195)</f>
        <v>0</v>
      </c>
    </row>
    <row r="192" spans="1:6" ht="15.75" x14ac:dyDescent="0.25">
      <c r="A192" s="33"/>
      <c r="B192" s="28" t="s">
        <v>111</v>
      </c>
      <c r="C192" s="27" t="s">
        <v>13</v>
      </c>
      <c r="D192" s="8"/>
      <c r="E192" s="8"/>
      <c r="F192" s="24">
        <f>E192</f>
        <v>0</v>
      </c>
    </row>
    <row r="193" spans="1:6" ht="15.75" x14ac:dyDescent="0.25">
      <c r="A193" s="33"/>
      <c r="B193" s="28" t="s">
        <v>112</v>
      </c>
      <c r="C193" s="27" t="s">
        <v>13</v>
      </c>
      <c r="D193" s="8"/>
      <c r="E193" s="8"/>
      <c r="F193" s="24">
        <f>E193</f>
        <v>0</v>
      </c>
    </row>
    <row r="194" spans="1:6" ht="15.75" x14ac:dyDescent="0.25">
      <c r="A194" s="33"/>
      <c r="B194" s="28" t="s">
        <v>113</v>
      </c>
      <c r="C194" s="27" t="s">
        <v>13</v>
      </c>
      <c r="D194" s="8"/>
      <c r="E194" s="8"/>
      <c r="F194" s="24">
        <f>E194</f>
        <v>0</v>
      </c>
    </row>
    <row r="195" spans="1:6" ht="15.75" x14ac:dyDescent="0.25">
      <c r="A195" s="33"/>
      <c r="B195" s="28" t="s">
        <v>114</v>
      </c>
      <c r="C195" s="27" t="s">
        <v>13</v>
      </c>
      <c r="D195" s="8"/>
      <c r="E195" s="8"/>
      <c r="F195" s="24">
        <f>E195</f>
        <v>0</v>
      </c>
    </row>
    <row r="196" spans="1:6" ht="15.75" x14ac:dyDescent="0.25">
      <c r="A196" s="27" t="s">
        <v>29</v>
      </c>
      <c r="B196" s="26" t="s">
        <v>105</v>
      </c>
      <c r="C196" s="27" t="s">
        <v>13</v>
      </c>
      <c r="D196" s="24">
        <f>D197+D199+D200</f>
        <v>0</v>
      </c>
      <c r="E196" s="24">
        <f>E197+E199+E200</f>
        <v>0</v>
      </c>
      <c r="F196" s="24">
        <f>F197+F199+F200</f>
        <v>0</v>
      </c>
    </row>
    <row r="197" spans="1:6" ht="15.75" x14ac:dyDescent="0.25">
      <c r="A197" s="33"/>
      <c r="B197" s="28" t="s">
        <v>111</v>
      </c>
      <c r="C197" s="27" t="s">
        <v>13</v>
      </c>
      <c r="D197" s="8"/>
      <c r="E197" s="8"/>
      <c r="F197" s="12">
        <f>E197</f>
        <v>0</v>
      </c>
    </row>
    <row r="198" spans="1:6" ht="15.75" x14ac:dyDescent="0.25">
      <c r="A198" s="33"/>
      <c r="B198" s="28" t="s">
        <v>115</v>
      </c>
      <c r="C198" s="27" t="s">
        <v>13</v>
      </c>
      <c r="D198" s="8"/>
      <c r="E198" s="8"/>
      <c r="F198" s="12">
        <f>E198</f>
        <v>0</v>
      </c>
    </row>
    <row r="199" spans="1:6" ht="15.75" x14ac:dyDescent="0.25">
      <c r="A199" s="33"/>
      <c r="B199" s="28" t="s">
        <v>112</v>
      </c>
      <c r="C199" s="27" t="s">
        <v>13</v>
      </c>
      <c r="D199" s="8"/>
      <c r="E199" s="8"/>
      <c r="F199" s="12">
        <f>E199</f>
        <v>0</v>
      </c>
    </row>
    <row r="200" spans="1:6" ht="15.75" x14ac:dyDescent="0.25">
      <c r="A200" s="33"/>
      <c r="B200" s="28" t="s">
        <v>114</v>
      </c>
      <c r="C200" s="27" t="s">
        <v>13</v>
      </c>
      <c r="D200" s="8"/>
      <c r="E200" s="8"/>
      <c r="F200" s="12">
        <f>E200</f>
        <v>0</v>
      </c>
    </row>
    <row r="201" spans="1:6" ht="15.75" x14ac:dyDescent="0.25">
      <c r="A201" s="27">
        <v>2</v>
      </c>
      <c r="B201" s="26" t="s">
        <v>116</v>
      </c>
      <c r="C201" s="27" t="s">
        <v>13</v>
      </c>
      <c r="D201" s="24">
        <f>D202+D206</f>
        <v>0</v>
      </c>
      <c r="E201" s="24">
        <f>E202+E206</f>
        <v>0</v>
      </c>
      <c r="F201" s="24">
        <f>F202+F206</f>
        <v>0</v>
      </c>
    </row>
    <row r="202" spans="1:6" ht="15.75" x14ac:dyDescent="0.25">
      <c r="A202" s="34" t="s">
        <v>34</v>
      </c>
      <c r="B202" s="26" t="s">
        <v>117</v>
      </c>
      <c r="C202" s="27" t="s">
        <v>13</v>
      </c>
      <c r="D202" s="24">
        <f>SUM(D203:D205)</f>
        <v>0</v>
      </c>
      <c r="E202" s="24">
        <f>SUM(E203:E205)</f>
        <v>0</v>
      </c>
      <c r="F202" s="24">
        <f>SUM(F203:F205)</f>
        <v>0</v>
      </c>
    </row>
    <row r="203" spans="1:6" ht="15.75" x14ac:dyDescent="0.25">
      <c r="A203" s="34"/>
      <c r="B203" s="28" t="s">
        <v>118</v>
      </c>
      <c r="C203" s="27" t="s">
        <v>13</v>
      </c>
      <c r="D203" s="8"/>
      <c r="E203" s="8"/>
      <c r="F203" s="24">
        <f>E203</f>
        <v>0</v>
      </c>
    </row>
    <row r="204" spans="1:6" ht="15.75" x14ac:dyDescent="0.25">
      <c r="A204" s="34"/>
      <c r="B204" s="28" t="s">
        <v>112</v>
      </c>
      <c r="C204" s="27" t="s">
        <v>13</v>
      </c>
      <c r="D204" s="8"/>
      <c r="E204" s="8"/>
      <c r="F204" s="24">
        <f>E204</f>
        <v>0</v>
      </c>
    </row>
    <row r="205" spans="1:6" ht="15.75" x14ac:dyDescent="0.25">
      <c r="A205" s="34"/>
      <c r="B205" s="28" t="s">
        <v>104</v>
      </c>
      <c r="C205" s="27" t="s">
        <v>13</v>
      </c>
      <c r="D205" s="8"/>
      <c r="E205" s="8"/>
      <c r="F205" s="24">
        <f>E205</f>
        <v>0</v>
      </c>
    </row>
    <row r="206" spans="1:6" ht="15.75" x14ac:dyDescent="0.25">
      <c r="A206" s="34" t="s">
        <v>36</v>
      </c>
      <c r="B206" s="26" t="s">
        <v>119</v>
      </c>
      <c r="C206" s="27" t="s">
        <v>13</v>
      </c>
      <c r="D206" s="24">
        <f>SUM(D207:D209)</f>
        <v>0</v>
      </c>
      <c r="E206" s="24">
        <f>SUM(E207:E209)</f>
        <v>0</v>
      </c>
      <c r="F206" s="24">
        <f>SUM(F207:F209)</f>
        <v>0</v>
      </c>
    </row>
    <row r="207" spans="1:6" ht="15.75" x14ac:dyDescent="0.25">
      <c r="A207" s="34"/>
      <c r="B207" s="28" t="s">
        <v>118</v>
      </c>
      <c r="C207" s="27" t="s">
        <v>13</v>
      </c>
      <c r="D207" s="8"/>
      <c r="E207" s="8"/>
      <c r="F207" s="12">
        <f>E207</f>
        <v>0</v>
      </c>
    </row>
    <row r="208" spans="1:6" ht="15.75" x14ac:dyDescent="0.25">
      <c r="A208" s="34"/>
      <c r="B208" s="28" t="s">
        <v>112</v>
      </c>
      <c r="C208" s="27" t="s">
        <v>13</v>
      </c>
      <c r="D208" s="8"/>
      <c r="E208" s="8"/>
      <c r="F208" s="12">
        <f>E208</f>
        <v>0</v>
      </c>
    </row>
    <row r="209" spans="1:6" ht="15.75" x14ac:dyDescent="0.25">
      <c r="A209" s="34"/>
      <c r="B209" s="28" t="s">
        <v>104</v>
      </c>
      <c r="C209" s="27" t="s">
        <v>13</v>
      </c>
      <c r="D209" s="8"/>
      <c r="E209" s="8"/>
      <c r="F209" s="12">
        <f>E209</f>
        <v>0</v>
      </c>
    </row>
    <row r="210" spans="1:6" ht="15.75" x14ac:dyDescent="0.25">
      <c r="A210" s="35">
        <v>3</v>
      </c>
      <c r="B210" s="26" t="s">
        <v>120</v>
      </c>
      <c r="C210" s="35"/>
      <c r="D210" s="24"/>
      <c r="E210" s="24"/>
      <c r="F210" s="12"/>
    </row>
    <row r="211" spans="1:6" ht="15.75" x14ac:dyDescent="0.25">
      <c r="A211" s="35"/>
      <c r="B211" s="28" t="s">
        <v>121</v>
      </c>
      <c r="C211" s="35" t="s">
        <v>122</v>
      </c>
      <c r="D211" s="8"/>
      <c r="E211" s="8"/>
      <c r="F211" s="12">
        <f>E211</f>
        <v>0</v>
      </c>
    </row>
    <row r="212" spans="1:6" ht="18" x14ac:dyDescent="0.25">
      <c r="A212" s="35"/>
      <c r="B212" s="28" t="s">
        <v>123</v>
      </c>
      <c r="C212" s="35" t="s">
        <v>124</v>
      </c>
      <c r="D212" s="8"/>
      <c r="E212" s="8"/>
      <c r="F212" s="12">
        <f>E212</f>
        <v>0</v>
      </c>
    </row>
  </sheetData>
  <sheetProtection sort="0"/>
  <protectedRanges>
    <protectedRange sqref="D109:E112 D119:E122 D124:E127 D129:E132 D134:E137 D139:E142 D144:E147 D149:E152 D154:E157 D159:E162 D164:E167 D169:E172 D174:E176 D180:E183 D185:E185 D187:E188" name="Range2_1"/>
    <protectedRange sqref="D19:E22 D24:E27 D29:E32 D34:E42 D49:E52 D54:E57 D59:E62 D64:E67 D74:E77 D79:E82 D89:E92 D94:E97 D99:E102" name="Range1_1"/>
    <protectedRange sqref="D192:E195 D197:E200 D203:E205 D207:E209 D211:E212" name="Range3"/>
  </protectedRanges>
  <mergeCells count="6">
    <mergeCell ref="A5:F5"/>
    <mergeCell ref="A7:A8"/>
    <mergeCell ref="B7:B8"/>
    <mergeCell ref="C7:C8"/>
    <mergeCell ref="D7:F7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TTCN-TAI</dc:creator>
  <cp:lastModifiedBy>tài nguyễn văn</cp:lastModifiedBy>
  <dcterms:created xsi:type="dcterms:W3CDTF">2025-06-27T01:30:16Z</dcterms:created>
  <dcterms:modified xsi:type="dcterms:W3CDTF">2025-07-12T03:01:00Z</dcterms:modified>
</cp:coreProperties>
</file>